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 CSAT" sheetId="1" r:id="rId5"/>
    <sheet state="visible" name="EN AHT by Contact reason" sheetId="2" r:id="rId6"/>
    <sheet state="visible" name="Contact Volume " sheetId="3" r:id="rId7"/>
    <sheet state="hidden" name="CSAT" sheetId="4" r:id="rId8"/>
    <sheet state="visible" name="Shrinkage" sheetId="5" r:id="rId9"/>
    <sheet state="visible" name="AHT Assumptions by BPO and lang" sheetId="6" r:id="rId10"/>
    <sheet state="visible" name="Other information" sheetId="7" r:id="rId11"/>
  </sheets>
  <definedNames/>
  <calcPr/>
</workbook>
</file>

<file path=xl/sharedStrings.xml><?xml version="1.0" encoding="utf-8"?>
<sst xmlns="http://schemas.openxmlformats.org/spreadsheetml/2006/main" count="593" uniqueCount="142">
  <si>
    <t>English Language CSAT Response</t>
  </si>
  <si>
    <t>English AHT by Contact reason</t>
  </si>
  <si>
    <t>January</t>
  </si>
  <si>
    <t>February</t>
  </si>
  <si>
    <t>March</t>
  </si>
  <si>
    <t>April</t>
  </si>
  <si>
    <t>May</t>
  </si>
  <si>
    <t>June</t>
  </si>
  <si>
    <t>English Tot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</si>
  <si>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</si>
  <si>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</si>
  <si>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</si>
  <si>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</si>
  <si>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</si>
  <si>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</si>
  <si>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>Ticket count</t>
  </si>
  <si>
    <t>CSAT ( %)</t>
  </si>
  <si>
    <t>CSAT</t>
  </si>
  <si>
    <t>1.1. Availability/Date/Duration</t>
  </si>
  <si>
    <t>English FC Email</t>
  </si>
  <si>
    <t>English FC Inbound Phone</t>
  </si>
  <si>
    <t>1.3. Description/Inclusions/Exclusions</t>
  </si>
  <si>
    <t>1.2. Meeting Point</t>
  </si>
  <si>
    <t>English FC Outbound Phone</t>
  </si>
  <si>
    <t>%</t>
  </si>
  <si>
    <t>3.3. Meeting point/Pick-up/Drop off</t>
  </si>
  <si>
    <t>English FC Chat</t>
  </si>
  <si>
    <t>5.2. Cancellation request</t>
  </si>
  <si>
    <t>German Tot</t>
  </si>
  <si>
    <t>1.4. Pricing</t>
  </si>
  <si>
    <t>4.1. Reschedule request (date/time)</t>
  </si>
  <si>
    <t>German FC Email</t>
  </si>
  <si>
    <t>1.6. Recommendations/Advice</t>
  </si>
  <si>
    <t>1.5. Custom requests</t>
  </si>
  <si>
    <t>German FC Inbound Phone</t>
  </si>
  <si>
    <t>German FC Outbound Phone</t>
  </si>
  <si>
    <t>3.1. Voucher/Ticket not received</t>
  </si>
  <si>
    <t>1.7. Chat abandoned without any message</t>
  </si>
  <si>
    <t>German FC Chat</t>
  </si>
  <si>
    <t>5.3. Customer was contacted by supplier with a cancellation request</t>
  </si>
  <si>
    <t>10.1.Non GYG related</t>
  </si>
  <si>
    <t>2.3. Issues while booking</t>
  </si>
  <si>
    <t>Italian Tot</t>
  </si>
  <si>
    <t>10.2. Unsubscribe from newsletter/marketing emails</t>
  </si>
  <si>
    <t>10.3. Request for different department (HR, Marketing, etc.)</t>
  </si>
  <si>
    <t>3.2. Voucher/Ticket question</t>
  </si>
  <si>
    <t>2.1. Booking assistance</t>
  </si>
  <si>
    <t>Italian FC Email</t>
  </si>
  <si>
    <t>10.5. Spam</t>
  </si>
  <si>
    <t>Italian FC Inbound Phone</t>
  </si>
  <si>
    <t>12.4. Refund/Complaint</t>
  </si>
  <si>
    <t>6.3. Meeting point</t>
  </si>
  <si>
    <t>Italian FC Outbound Phone</t>
  </si>
  <si>
    <t>13.1. Account question</t>
  </si>
  <si>
    <t>Italian FC Chat</t>
  </si>
  <si>
    <t>4.2. Option/Language/Pax</t>
  </si>
  <si>
    <t>13.2. Payment question</t>
  </si>
  <si>
    <t>Spanish Tot</t>
  </si>
  <si>
    <t>7.2. I have not received my refund yet</t>
  </si>
  <si>
    <t>Spanish FC Email</t>
  </si>
  <si>
    <t>18.2. Positive feedback</t>
  </si>
  <si>
    <t>Spanish FC Inbound Phone</t>
  </si>
  <si>
    <t>Spanish FC Outbound Phone</t>
  </si>
  <si>
    <t>4.3. Customer information</t>
  </si>
  <si>
    <t>Spanish FC Chat</t>
  </si>
  <si>
    <t>3.4. Date/Duration</t>
  </si>
  <si>
    <t>French Tot</t>
  </si>
  <si>
    <t>5.1. Cancellation information</t>
  </si>
  <si>
    <t>French FC Email</t>
  </si>
  <si>
    <t>French FC Inbound Phone</t>
  </si>
  <si>
    <t>7.3. Invoice request</t>
  </si>
  <si>
    <t>French FC Outbound Phone</t>
  </si>
  <si>
    <t>3.7. Supplier related questions</t>
  </si>
  <si>
    <t>French FC Chat</t>
  </si>
  <si>
    <t>3.8. Reviews</t>
  </si>
  <si>
    <t>9.2. I am having trouble signing into my account</t>
  </si>
  <si>
    <t>9.3. I want to amend/delete my account</t>
  </si>
  <si>
    <t>8.2. How do I redeem a gift certificate?</t>
  </si>
  <si>
    <t>8.1. How do I purchase a gift certificate?</t>
  </si>
  <si>
    <t>4.5. Question about reschedule self-serve feature</t>
  </si>
  <si>
    <t>9.5. I cannot see my booking in the account/app</t>
  </si>
  <si>
    <t>7.1. Bank/Conversion fees</t>
  </si>
  <si>
    <t>5.4. Question about cancellation self-serve feature</t>
  </si>
  <si>
    <t>8.4. I want to extend my gift certificate</t>
  </si>
  <si>
    <t>8.3. Why can't I redeem my gift certificate?</t>
  </si>
  <si>
    <t>9.1. How do I create a GYG account/verify email address?</t>
  </si>
  <si>
    <t>8.5. I want to cancel my gift certificate</t>
  </si>
  <si>
    <t>9.4. How do I download/use the app?</t>
  </si>
  <si>
    <t>SLA</t>
  </si>
  <si>
    <t xml:space="preserve">Refunds </t>
  </si>
  <si>
    <t>Language</t>
  </si>
  <si>
    <t>Time Category</t>
  </si>
  <si>
    <t>BPO</t>
  </si>
  <si>
    <t>English</t>
  </si>
  <si>
    <t>Tot Shrink</t>
  </si>
  <si>
    <t>BPO 3</t>
  </si>
  <si>
    <t>Break + Lunch</t>
  </si>
  <si>
    <t>Projects</t>
  </si>
  <si>
    <t>Meetings</t>
  </si>
  <si>
    <t>Coaching</t>
  </si>
  <si>
    <t>Vacation</t>
  </si>
  <si>
    <t>Sick</t>
  </si>
  <si>
    <t>BPO 2</t>
  </si>
  <si>
    <t>BPO1</t>
  </si>
  <si>
    <t>German</t>
  </si>
  <si>
    <t>Italian</t>
  </si>
  <si>
    <t xml:space="preserve">Summary </t>
  </si>
  <si>
    <t>Spanish</t>
  </si>
  <si>
    <t>158,297</t>
  </si>
  <si>
    <t>French</t>
  </si>
  <si>
    <t>Main Language</t>
  </si>
  <si>
    <t>Email AHT</t>
  </si>
  <si>
    <t>Inbound Phone AHT</t>
  </si>
  <si>
    <t>Outbound Phone AHT</t>
  </si>
  <si>
    <t>Chat AHT</t>
  </si>
  <si>
    <t>Chat concurrency English</t>
  </si>
  <si>
    <t>BPO 1</t>
  </si>
  <si>
    <t xml:space="preserve">FTE = </t>
  </si>
  <si>
    <t>40hrs per week</t>
  </si>
  <si>
    <t>Agent Time to Competency (productivity)</t>
  </si>
  <si>
    <t>3 months</t>
  </si>
  <si>
    <t>Newbie Agent Competency learning curve</t>
  </si>
  <si>
    <t>120% increase in AHT month 1, 110% Month 2, 105% Month 3</t>
  </si>
  <si>
    <t>BPO 1 &amp; 2</t>
  </si>
  <si>
    <t>Are only able to handle English Contacts</t>
  </si>
  <si>
    <t>Are only able to handle German, Italian, French, &amp; Spanish Contacts</t>
  </si>
  <si>
    <t>Customer Care Operating Hours</t>
  </si>
  <si>
    <t>24 hours 7 days a week</t>
  </si>
  <si>
    <t>Phone SLA</t>
  </si>
  <si>
    <t>80% of all offered calls answered in 20 seconds</t>
  </si>
  <si>
    <t>Chat SLA</t>
  </si>
  <si>
    <t>80% of all offered chats answered in 60 seconds (1 minute)</t>
  </si>
  <si>
    <t>Email SLA</t>
  </si>
  <si>
    <t>80% of all offered emails answered in 120 minutes (2 hours)</t>
  </si>
  <si>
    <t>BPOs Contract</t>
  </si>
  <si>
    <t>All BPO are contracted on a Cost Per Productive Hour basis</t>
  </si>
  <si>
    <t xml:space="preserve">Annual Attrition/Turnover </t>
  </si>
  <si>
    <t>36% all BPOs</t>
  </si>
  <si>
    <t>Training Time for new agents</t>
  </si>
  <si>
    <t>4 weeks</t>
  </si>
  <si>
    <t>AHT</t>
  </si>
  <si>
    <t>Average Handling time in seconds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</si>
</sst>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€]#,##0.00"/>
    <numFmt numFmtId="165" formatCode="&quot;$&quot;#,##0.00"/>
  </numFmts>
  <fonts count="16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  <scheme val="minor"/>
    </font>
    <font>
      <b/>
      <sz val="9.0"/>
      <color theme="1"/>
      <name val="Century Gothic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  <font>
      <sz val="10.0"/>
      <color rgb="FF000000"/>
      <name val="Arial"/>
    </font>
    <font>
      <sz val="9.0"/>
      <color theme="1"/>
      <name val="Century Gothic"/>
    </font>
    <font>
      <b/>
      <color rgb="FF000000"/>
      <name val="Arial"/>
    </font>
    <font>
      <b/>
      <color theme="1"/>
      <name val="Arial"/>
    </font>
    <font>
      <color rgb="FF000000"/>
      <name val="Arial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 shrinkToFit="0" vertical="bottom" wrapText="1"/>
    </xf>
    <xf borderId="0" fillId="0" fontId="2" numFmtId="0" xfId="0" applyAlignment="1" applyFont="1">
      <alignment horizontal="left" readingOrder="0" vertical="top"/>
    </xf>
    <xf borderId="0" fillId="0" fontId="3" numFmtId="49" xfId="0" applyAlignment="1" applyFont="1" applyNumberFormat="1">
      <alignment readingOrder="0" shrinkToFit="0" vertical="bottom" wrapText="1"/>
    </xf>
    <xf borderId="0" fillId="0" fontId="4" numFmtId="49" xfId="0" applyAlignment="1" applyFont="1" applyNumberFormat="1">
      <alignment readingOrder="0"/>
    </xf>
    <xf borderId="0" fillId="0" fontId="5" numFmtId="0" xfId="0" applyFont="1"/>
    <xf borderId="0" fillId="0" fontId="3" numFmtId="49" xfId="0" applyAlignment="1" applyFont="1" applyNumberFormat="1">
      <alignment horizontal="center" vertical="bottom"/>
    </xf>
    <xf borderId="0" fillId="0" fontId="4" numFmtId="49" xfId="0" applyFont="1" applyNumberFormat="1"/>
    <xf borderId="0" fillId="0" fontId="6" numFmtId="0" xfId="0" applyAlignment="1" applyFont="1">
      <alignment readingOrder="0" vertical="bottom"/>
    </xf>
    <xf borderId="0" fillId="2" fontId="1" numFmtId="3" xfId="0" applyAlignment="1" applyFill="1" applyFont="1" applyNumberFormat="1">
      <alignment horizontal="center" readingOrder="0" vertical="bottom"/>
    </xf>
    <xf borderId="0" fillId="0" fontId="7" numFmtId="49" xfId="0" applyAlignment="1" applyFont="1" applyNumberFormat="1">
      <alignment vertical="bottom"/>
    </xf>
    <xf borderId="0" fillId="2" fontId="7" numFmtId="49" xfId="0" applyAlignment="1" applyFont="1" applyNumberFormat="1">
      <alignment vertical="bottom"/>
    </xf>
    <xf borderId="0" fillId="0" fontId="2" numFmtId="49" xfId="0" applyAlignment="1" applyFont="1" applyNumberFormat="1">
      <alignment shrinkToFit="0" vertical="bottom" wrapText="1"/>
    </xf>
    <xf borderId="0" fillId="0" fontId="8" numFmtId="49" xfId="0" applyFont="1" applyNumberFormat="1"/>
    <xf borderId="0" fillId="0" fontId="9" numFmtId="49" xfId="0" applyFont="1" applyNumberFormat="1"/>
    <xf borderId="0" fillId="0" fontId="9" numFmtId="49" xfId="0" applyAlignment="1" applyFont="1" applyNumberFormat="1">
      <alignment readingOrder="0"/>
    </xf>
    <xf borderId="0" fillId="0" fontId="3" numFmtId="49" xfId="0" applyAlignment="1" applyFont="1" applyNumberFormat="1">
      <alignment shrinkToFit="0" vertical="bottom" wrapText="1"/>
    </xf>
    <xf borderId="0" fillId="0" fontId="10" numFmtId="0" xfId="0" applyAlignment="1" applyFont="1">
      <alignment readingOrder="0" vertical="bottom"/>
    </xf>
    <xf borderId="0" fillId="0" fontId="5" numFmtId="49" xfId="0" applyAlignment="1" applyFont="1" applyNumberFormat="1">
      <alignment shrinkToFit="0" vertical="bottom" wrapText="1"/>
    </xf>
    <xf borderId="0" fillId="0" fontId="8" numFmtId="3" xfId="0" applyFont="1" applyNumberFormat="1"/>
    <xf borderId="0" fillId="0" fontId="5" numFmtId="2" xfId="0" applyAlignment="1" applyFont="1" applyNumberFormat="1">
      <alignment horizontal="right" vertical="bottom"/>
    </xf>
    <xf borderId="0" fillId="0" fontId="8" numFmtId="4" xfId="0" applyFont="1" applyNumberFormat="1"/>
    <xf borderId="0" fillId="0" fontId="11" numFmtId="3" xfId="0" applyAlignment="1" applyFont="1" applyNumberFormat="1">
      <alignment horizontal="right" vertical="bottom"/>
    </xf>
    <xf borderId="0" fillId="0" fontId="11" numFmtId="4" xfId="0" applyAlignment="1" applyFont="1" applyNumberFormat="1">
      <alignment horizontal="right" vertical="bottom"/>
    </xf>
    <xf borderId="0" fillId="0" fontId="8" numFmtId="164" xfId="0" applyFont="1" applyNumberFormat="1"/>
    <xf borderId="0" fillId="0" fontId="8" numFmtId="9" xfId="0" applyFont="1" applyNumberFormat="1"/>
    <xf borderId="0" fillId="0" fontId="8" numFmtId="165" xfId="0" applyFont="1" applyNumberFormat="1"/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horizontal="center" readingOrder="0"/>
    </xf>
    <xf borderId="0" fillId="0" fontId="7" numFmtId="0" xfId="0" applyFont="1"/>
    <xf borderId="0" fillId="0" fontId="14" numFmtId="0" xfId="0" applyAlignment="1" applyFont="1">
      <alignment horizontal="center" readingOrder="0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9" xfId="0" applyAlignment="1" applyFont="1" applyNumberFormat="1">
      <alignment horizontal="center"/>
    </xf>
    <xf borderId="0" fillId="0" fontId="7" numFmtId="3" xfId="0" applyAlignment="1" applyFont="1" applyNumberFormat="1">
      <alignment vertical="bottom"/>
    </xf>
    <xf borderId="0" fillId="0" fontId="13" numFmtId="49" xfId="0" applyAlignment="1" applyFont="1" applyNumberFormat="1">
      <alignment vertical="bottom"/>
    </xf>
    <xf borderId="0" fillId="0" fontId="7" numFmtId="0" xfId="0" applyAlignment="1" applyFont="1">
      <alignment vertical="bottom"/>
    </xf>
    <xf borderId="0" fillId="0" fontId="7" numFmtId="164" xfId="0" applyAlignment="1" applyFont="1" applyNumberFormat="1">
      <alignment vertical="bottom"/>
    </xf>
    <xf borderId="0" fillId="0" fontId="7" numFmtId="9" xfId="0" applyAlignment="1" applyFont="1" applyNumberFormat="1">
      <alignment horizontal="right" vertical="bottom"/>
    </xf>
    <xf borderId="0" fillId="0" fontId="7" numFmtId="165" xfId="0" applyAlignment="1" applyFont="1" applyNumberFormat="1">
      <alignment horizontal="right" vertical="bottom"/>
    </xf>
    <xf borderId="0" fillId="0" fontId="7" numFmtId="165" xfId="0" applyAlignment="1" applyFont="1" applyNumberFormat="1">
      <alignment vertical="bottom"/>
    </xf>
    <xf borderId="0" fillId="0" fontId="7" numFmtId="3" xfId="0" applyAlignment="1" applyFont="1" applyNumberFormat="1">
      <alignment readingOrder="0" vertical="bottom"/>
    </xf>
    <xf borderId="0" fillId="0" fontId="7" numFmtId="49" xfId="0" applyAlignment="1" applyFont="1" applyNumberFormat="1">
      <alignment readingOrder="0" vertical="bottom"/>
    </xf>
    <xf borderId="0" fillId="0" fontId="14" numFmtId="0" xfId="0" applyFont="1"/>
    <xf borderId="0" fillId="0" fontId="13" numFmtId="0" xfId="0" applyAlignment="1" applyFont="1">
      <alignment horizontal="center" readingOrder="0" shrinkToFit="0" wrapText="1"/>
    </xf>
    <xf borderId="0" fillId="0" fontId="13" numFmtId="0" xfId="0" applyAlignment="1" applyFont="1">
      <alignment horizontal="center" shrinkToFit="0" wrapText="1"/>
    </xf>
    <xf borderId="0" fillId="0" fontId="12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3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shrinkToFit="0" wrapText="1"/>
    </xf>
    <xf borderId="0" fillId="0" fontId="7" numFmtId="3" xfId="0" applyAlignment="1" applyFont="1" applyNumberFormat="1">
      <alignment horizontal="center" vertical="bottom"/>
    </xf>
    <xf borderId="0" fillId="0" fontId="7" numFmtId="3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2" fontId="0" numFmtId="0" xfId="0" applyAlignment="1" applyFont="1">
      <alignment readingOrder="0"/>
    </xf>
    <xf borderId="0" fillId="0" fontId="15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</cols>
  <sheetData>
    <row r="1">
      <c r="A1" s="5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>
      <c r="A2" s="8"/>
      <c r="B2" s="8" t="s">
        <v>9</v>
      </c>
      <c r="C2" s="5" t="s">
        <v>2</v>
      </c>
      <c r="D2" s="8" t="s">
        <v>10</v>
      </c>
      <c r="E2" s="5" t="s">
        <v>3</v>
      </c>
      <c r="F2" s="8" t="s">
        <v>11</v>
      </c>
      <c r="G2" s="5" t="s">
        <v>4</v>
      </c>
      <c r="H2" s="8" t="s">
        <v>12</v>
      </c>
      <c r="I2" s="5" t="s">
        <v>5</v>
      </c>
      <c r="J2" s="8" t="s">
        <v>13</v>
      </c>
      <c r="K2" s="5" t="s">
        <v>6</v>
      </c>
      <c r="L2" s="8" t="s">
        <v>14</v>
      </c>
      <c r="M2" s="5" t="s">
        <v>7</v>
      </c>
    </row>
    <row r="3">
      <c r="A3" s="14"/>
      <c r="B3" s="15" t="s">
        <v>15</v>
      </c>
      <c r="C3" s="16" t="s">
        <v>16</v>
      </c>
      <c r="D3" s="15" t="s">
        <v>15</v>
      </c>
      <c r="E3" s="16" t="s">
        <v>16</v>
      </c>
      <c r="F3" s="15" t="s">
        <v>15</v>
      </c>
      <c r="G3" s="16" t="s">
        <v>16</v>
      </c>
      <c r="H3" s="15" t="s">
        <v>15</v>
      </c>
      <c r="I3" s="16" t="s">
        <v>16</v>
      </c>
      <c r="J3" s="15" t="s">
        <v>15</v>
      </c>
      <c r="K3" s="16" t="s">
        <v>16</v>
      </c>
      <c r="L3" s="15" t="s">
        <v>15</v>
      </c>
      <c r="M3" s="16" t="s">
        <v>16</v>
      </c>
    </row>
    <row r="4">
      <c r="A4" s="14" t="s">
        <v>18</v>
      </c>
      <c r="B4" s="20">
        <v>7194.0428336079085</v>
      </c>
      <c r="C4" s="22">
        <v>88.0</v>
      </c>
      <c r="D4" s="20">
        <v>7510.244018911406</v>
      </c>
      <c r="E4" s="22">
        <v>82.0</v>
      </c>
      <c r="F4" s="20">
        <v>15774.377853160355</v>
      </c>
      <c r="G4" s="22">
        <v>88.0</v>
      </c>
      <c r="H4" s="20">
        <v>19052.671498090105</v>
      </c>
      <c r="I4" s="22">
        <v>75.0</v>
      </c>
      <c r="J4" s="20">
        <v>15994.796986817326</v>
      </c>
      <c r="K4" s="22">
        <v>82.0</v>
      </c>
      <c r="L4" s="20">
        <v>20829.325385538148</v>
      </c>
      <c r="M4" s="22">
        <v>79.0</v>
      </c>
    </row>
    <row r="5">
      <c r="A5" s="14" t="s">
        <v>21</v>
      </c>
      <c r="B5" s="20">
        <v>5218.214168039538</v>
      </c>
      <c r="C5" s="22">
        <v>79.0</v>
      </c>
      <c r="D5" s="20">
        <v>4938.022712693924</v>
      </c>
      <c r="E5" s="22">
        <v>86.0</v>
      </c>
      <c r="F5" s="20">
        <v>10060.089298280434</v>
      </c>
      <c r="G5" s="22">
        <v>89.0</v>
      </c>
      <c r="H5" s="20">
        <v>11001.117550102035</v>
      </c>
      <c r="I5" s="22">
        <v>89.0</v>
      </c>
      <c r="J5" s="20">
        <v>10629.607996523251</v>
      </c>
      <c r="K5" s="22">
        <v>85.0</v>
      </c>
      <c r="L5" s="20">
        <v>14797.826183203275</v>
      </c>
      <c r="M5" s="22">
        <v>70.0</v>
      </c>
    </row>
    <row r="6">
      <c r="A6" s="14" t="s">
        <v>25</v>
      </c>
      <c r="B6" s="20">
        <v>4826.848105436573</v>
      </c>
      <c r="C6" s="22">
        <v>69.0</v>
      </c>
      <c r="D6" s="20">
        <v>5477.00800646219</v>
      </c>
      <c r="E6" s="22">
        <v>73.0</v>
      </c>
      <c r="F6" s="20">
        <v>13261.597481099223</v>
      </c>
      <c r="G6" s="22">
        <v>66.0</v>
      </c>
      <c r="H6" s="20">
        <v>17700.526136779867</v>
      </c>
      <c r="I6" s="22">
        <v>71.0</v>
      </c>
      <c r="J6" s="20">
        <v>16324.737418513689</v>
      </c>
      <c r="K6" s="22">
        <v>75.0</v>
      </c>
      <c r="L6" s="20">
        <v>22806.545182473626</v>
      </c>
      <c r="M6" s="22">
        <v>76.0</v>
      </c>
    </row>
    <row r="7">
      <c r="A7" s="14" t="s">
        <v>27</v>
      </c>
      <c r="B7" s="20">
        <v>3153.7265238879736</v>
      </c>
      <c r="C7" s="22">
        <v>78.0</v>
      </c>
      <c r="D7" s="20">
        <v>2923.1351357772446</v>
      </c>
      <c r="E7" s="22">
        <v>80.0</v>
      </c>
      <c r="F7" s="20">
        <v>6316.925389292867</v>
      </c>
      <c r="G7" s="22">
        <v>79.0</v>
      </c>
      <c r="H7" s="20">
        <v>8395.87933650777</v>
      </c>
      <c r="I7" s="22">
        <v>68.0</v>
      </c>
      <c r="J7" s="20">
        <v>8362.283355063017</v>
      </c>
      <c r="K7" s="22">
        <v>80.0</v>
      </c>
      <c r="L7" s="20">
        <v>11965.116236504618</v>
      </c>
      <c r="M7" s="22">
        <v>79.0</v>
      </c>
    </row>
    <row r="8">
      <c r="A8" s="14" t="s">
        <v>30</v>
      </c>
      <c r="B8" s="20">
        <v>2763.627018121911</v>
      </c>
      <c r="C8" s="22">
        <v>72.0</v>
      </c>
      <c r="D8" s="20">
        <v>2597.450405074719</v>
      </c>
      <c r="E8" s="22">
        <v>68.0</v>
      </c>
      <c r="F8" s="20">
        <v>5900.819003626784</v>
      </c>
      <c r="G8" s="22">
        <v>69.0</v>
      </c>
      <c r="H8" s="20">
        <v>7538.996520328606</v>
      </c>
      <c r="I8" s="22">
        <v>75.0</v>
      </c>
      <c r="J8" s="20">
        <v>6800.348602057076</v>
      </c>
      <c r="K8" s="22">
        <v>88.0</v>
      </c>
      <c r="L8" s="20">
        <v>9862.60726431778</v>
      </c>
      <c r="M8" s="22">
        <v>92.0</v>
      </c>
    </row>
    <row r="9">
      <c r="A9" s="14" t="s">
        <v>32</v>
      </c>
      <c r="B9" s="20">
        <v>2720.5640856672157</v>
      </c>
      <c r="C9" s="22">
        <v>71.0</v>
      </c>
      <c r="D9" s="20">
        <v>2972.4465562709365</v>
      </c>
      <c r="E9" s="22">
        <v>66.0</v>
      </c>
      <c r="F9" s="20">
        <v>5036.322116165352</v>
      </c>
      <c r="G9" s="22">
        <v>91.0</v>
      </c>
      <c r="H9" s="20">
        <v>5583.102532572864</v>
      </c>
      <c r="I9" s="22">
        <v>82.0</v>
      </c>
      <c r="J9" s="20">
        <v>5423.700593944662</v>
      </c>
      <c r="K9" s="22">
        <v>82.0</v>
      </c>
      <c r="L9" s="20">
        <v>6591.385204239374</v>
      </c>
      <c r="M9" s="22">
        <v>92.0</v>
      </c>
    </row>
    <row r="10">
      <c r="A10" s="14" t="s">
        <v>22</v>
      </c>
      <c r="B10" s="20">
        <v>2568.5772652388796</v>
      </c>
      <c r="C10" s="22">
        <v>71.0</v>
      </c>
      <c r="D10" s="20">
        <v>2518.322776840655</v>
      </c>
      <c r="E10" s="22">
        <v>88.0</v>
      </c>
      <c r="F10" s="20">
        <v>4474.937207917576</v>
      </c>
      <c r="G10" s="22">
        <v>72.0</v>
      </c>
      <c r="H10" s="20">
        <v>4814.266391083669</v>
      </c>
      <c r="I10" s="22">
        <v>71.0</v>
      </c>
      <c r="J10" s="20">
        <v>4672.801680428799</v>
      </c>
      <c r="K10" s="22">
        <v>83.0</v>
      </c>
      <c r="L10" s="20">
        <v>6763.657820209989</v>
      </c>
      <c r="M10" s="22">
        <v>75.0</v>
      </c>
    </row>
    <row r="11">
      <c r="A11" s="14" t="s">
        <v>36</v>
      </c>
      <c r="B11" s="20">
        <v>2402.6583196046126</v>
      </c>
      <c r="C11" s="22">
        <v>91.0</v>
      </c>
      <c r="D11" s="20">
        <v>2371.535292580362</v>
      </c>
      <c r="E11" s="22">
        <v>89.0</v>
      </c>
      <c r="F11" s="20">
        <v>3852.571191425633</v>
      </c>
      <c r="G11" s="22">
        <v>93.0</v>
      </c>
      <c r="H11" s="20">
        <v>5328.396080791167</v>
      </c>
      <c r="I11" s="22">
        <v>65.0</v>
      </c>
      <c r="J11" s="20">
        <v>5345.685122410546</v>
      </c>
      <c r="K11" s="22">
        <v>67.0</v>
      </c>
      <c r="L11" s="20">
        <v>10126.889118363611</v>
      </c>
      <c r="M11" s="22">
        <v>65.0</v>
      </c>
    </row>
    <row r="12">
      <c r="A12" s="14" t="s">
        <v>33</v>
      </c>
      <c r="B12" s="20">
        <v>2060.6879736408564</v>
      </c>
      <c r="C12" s="22">
        <v>71.0</v>
      </c>
      <c r="D12" s="20">
        <v>2018.3279085790311</v>
      </c>
      <c r="E12" s="22">
        <v>87.0</v>
      </c>
      <c r="F12" s="20">
        <v>4177.205914725465</v>
      </c>
      <c r="G12" s="22">
        <v>83.0</v>
      </c>
      <c r="H12" s="20">
        <v>3778.1457014284965</v>
      </c>
      <c r="I12" s="22">
        <v>75.0</v>
      </c>
      <c r="J12" s="20">
        <v>3669.977806750688</v>
      </c>
      <c r="K12" s="22">
        <v>88.0</v>
      </c>
      <c r="L12" s="20">
        <v>4034.702971766365</v>
      </c>
      <c r="M12" s="22">
        <v>69.0</v>
      </c>
    </row>
    <row r="13">
      <c r="A13" s="14" t="s">
        <v>39</v>
      </c>
      <c r="B13" s="20">
        <v>1757.9808896210875</v>
      </c>
      <c r="C13" s="22">
        <v>88.0</v>
      </c>
      <c r="D13" s="20">
        <v>1355.4906749661448</v>
      </c>
      <c r="E13" s="22">
        <v>70.0</v>
      </c>
      <c r="F13" s="20">
        <v>2717.246440879811</v>
      </c>
      <c r="G13" s="22">
        <v>77.0</v>
      </c>
      <c r="H13" s="20">
        <v>3435.392574956831</v>
      </c>
      <c r="I13" s="22">
        <v>67.0</v>
      </c>
      <c r="J13" s="20">
        <v>2818.308909169926</v>
      </c>
      <c r="K13" s="22">
        <v>87.0</v>
      </c>
      <c r="L13" s="20">
        <v>3427.833529142603</v>
      </c>
      <c r="M13" s="22">
        <v>92.0</v>
      </c>
    </row>
    <row r="14">
      <c r="A14" s="14" t="s">
        <v>41</v>
      </c>
      <c r="B14" s="20">
        <v>1670.588467874794</v>
      </c>
      <c r="C14" s="22">
        <v>67.0</v>
      </c>
      <c r="D14" s="20">
        <v>1551.5895797201301</v>
      </c>
      <c r="E14" s="22">
        <v>68.0</v>
      </c>
      <c r="F14" s="20">
        <v>2769.2597390880715</v>
      </c>
      <c r="G14" s="22">
        <v>80.0</v>
      </c>
      <c r="H14" s="20">
        <v>2773.470252734028</v>
      </c>
      <c r="I14" s="22">
        <v>68.0</v>
      </c>
      <c r="J14" s="20">
        <v>2855.6913226133565</v>
      </c>
      <c r="K14" s="22">
        <v>68.0</v>
      </c>
      <c r="L14" s="20">
        <v>4580.8854701277505</v>
      </c>
      <c r="M14" s="22">
        <v>75.0</v>
      </c>
    </row>
    <row r="15">
      <c r="A15" s="14" t="s">
        <v>29</v>
      </c>
      <c r="B15" s="20">
        <v>1569.26392092257</v>
      </c>
      <c r="C15" s="22">
        <v>79.0</v>
      </c>
      <c r="D15" s="20">
        <v>1504.571713668005</v>
      </c>
      <c r="E15" s="22">
        <v>76.0</v>
      </c>
      <c r="F15" s="20">
        <v>3178.1918767254288</v>
      </c>
      <c r="G15" s="22">
        <v>72.0</v>
      </c>
      <c r="H15" s="20">
        <v>2988.8701533148446</v>
      </c>
      <c r="I15" s="22">
        <v>93.0</v>
      </c>
      <c r="J15" s="20">
        <v>2714.2882804577716</v>
      </c>
      <c r="K15" s="22">
        <v>69.0</v>
      </c>
      <c r="L15" s="20">
        <v>3617.724935382941</v>
      </c>
      <c r="M15" s="22">
        <v>73.0</v>
      </c>
    </row>
    <row r="16">
      <c r="A16" s="14" t="s">
        <v>45</v>
      </c>
      <c r="B16" s="20">
        <v>1441.3416803953871</v>
      </c>
      <c r="C16" s="22">
        <v>92.0</v>
      </c>
      <c r="D16" s="20">
        <v>1423.1505309923737</v>
      </c>
      <c r="E16" s="22">
        <v>87.0</v>
      </c>
      <c r="F16" s="20">
        <v>3468.748921888815</v>
      </c>
      <c r="G16" s="22">
        <v>81.0</v>
      </c>
      <c r="H16" s="20">
        <v>4155.4885929569355</v>
      </c>
      <c r="I16" s="22">
        <v>70.0</v>
      </c>
      <c r="J16" s="20">
        <v>3684.6057076633347</v>
      </c>
      <c r="K16" s="22">
        <v>71.0</v>
      </c>
      <c r="L16" s="20">
        <v>5475.528487156973</v>
      </c>
      <c r="M16" s="22">
        <v>69.0</v>
      </c>
    </row>
    <row r="17">
      <c r="A17" s="14" t="s">
        <v>46</v>
      </c>
      <c r="B17" s="20">
        <v>1327.3515650741351</v>
      </c>
      <c r="C17" s="22">
        <v>85.0</v>
      </c>
      <c r="D17" s="20">
        <v>1240.8129528877907</v>
      </c>
      <c r="E17" s="22">
        <v>91.0</v>
      </c>
      <c r="F17" s="20">
        <v>2385.4374695512533</v>
      </c>
      <c r="G17" s="22">
        <v>65.0</v>
      </c>
      <c r="H17" s="20">
        <v>2625.677620218722</v>
      </c>
      <c r="I17" s="22">
        <v>90.0</v>
      </c>
      <c r="J17" s="20">
        <v>2348.590757641605</v>
      </c>
      <c r="K17" s="22">
        <v>95.0</v>
      </c>
      <c r="L17" s="20">
        <v>3966.185454050779</v>
      </c>
      <c r="M17" s="22">
        <v>80.0</v>
      </c>
    </row>
    <row r="18">
      <c r="A18" s="14" t="s">
        <v>40</v>
      </c>
      <c r="B18" s="20">
        <v>1314.685996705107</v>
      </c>
      <c r="C18" s="22">
        <v>86.0</v>
      </c>
      <c r="D18" s="20">
        <v>1056.1818203416408</v>
      </c>
      <c r="E18" s="22">
        <v>93.0</v>
      </c>
      <c r="F18" s="20">
        <v>2105.6417964309558</v>
      </c>
      <c r="G18" s="22">
        <v>72.0</v>
      </c>
      <c r="H18" s="20">
        <v>2841.0775207995393</v>
      </c>
      <c r="I18" s="22">
        <v>67.0</v>
      </c>
      <c r="J18" s="20">
        <v>2455.862031001014</v>
      </c>
      <c r="K18" s="22">
        <v>70.0</v>
      </c>
      <c r="L18" s="20">
        <v>4261.78960190945</v>
      </c>
      <c r="M18" s="22">
        <v>92.0</v>
      </c>
    </row>
    <row r="19">
      <c r="A19" s="14" t="s">
        <v>51</v>
      </c>
      <c r="B19" s="20">
        <v>1199.429324546952</v>
      </c>
      <c r="C19" s="22">
        <v>81.0</v>
      </c>
      <c r="D19" s="20">
        <v>930.0363260554514</v>
      </c>
      <c r="E19" s="22">
        <v>73.0</v>
      </c>
      <c r="F19" s="20">
        <v>1919.1113476840908</v>
      </c>
      <c r="G19" s="22">
        <v>81.0</v>
      </c>
      <c r="H19" s="20">
        <v>2712.152032860656</v>
      </c>
      <c r="I19" s="22">
        <v>73.0</v>
      </c>
      <c r="J19" s="20">
        <v>2416.8542952339562</v>
      </c>
      <c r="K19" s="22">
        <v>90.0</v>
      </c>
      <c r="L19" s="20">
        <v>3435.6641025958124</v>
      </c>
      <c r="M19" s="22">
        <v>93.0</v>
      </c>
    </row>
    <row r="20">
      <c r="A20" s="14" t="s">
        <v>50</v>
      </c>
      <c r="B20" s="20">
        <v>987.9143327841845</v>
      </c>
      <c r="C20" s="22">
        <v>78.0</v>
      </c>
      <c r="D20" s="20">
        <v>746.5519707300848</v>
      </c>
      <c r="E20" s="22">
        <v>76.0</v>
      </c>
      <c r="F20" s="20">
        <v>1619.586492484798</v>
      </c>
      <c r="G20" s="22">
        <v>70.0</v>
      </c>
      <c r="H20" s="20">
        <v>2073.8136413583798</v>
      </c>
      <c r="I20" s="22">
        <v>66.0</v>
      </c>
      <c r="J20" s="20">
        <v>2368.094625525134</v>
      </c>
      <c r="K20" s="22">
        <v>76.0</v>
      </c>
      <c r="L20" s="20">
        <v>3138.1023113738393</v>
      </c>
      <c r="M20" s="22">
        <v>89.0</v>
      </c>
    </row>
    <row r="21">
      <c r="A21" s="14" t="s">
        <v>55</v>
      </c>
      <c r="B21" s="20">
        <v>953.7172981878089</v>
      </c>
      <c r="C21" s="22">
        <v>91.0</v>
      </c>
      <c r="D21" s="20">
        <v>903.6604499774298</v>
      </c>
      <c r="E21" s="22">
        <v>72.0</v>
      </c>
      <c r="F21" s="20">
        <v>2148.6872846033093</v>
      </c>
      <c r="G21" s="22">
        <v>94.0</v>
      </c>
      <c r="H21" s="20">
        <v>2742.0250117733244</v>
      </c>
      <c r="I21" s="22">
        <v>83.0</v>
      </c>
      <c r="J21" s="20">
        <v>2821.559553817181</v>
      </c>
      <c r="K21" s="22">
        <v>87.0</v>
      </c>
      <c r="L21" s="20">
        <v>4069.9405523058085</v>
      </c>
      <c r="M21" s="22">
        <v>89.0</v>
      </c>
    </row>
    <row r="22">
      <c r="A22" s="14" t="s">
        <v>58</v>
      </c>
      <c r="B22" s="20">
        <v>927.11960461285</v>
      </c>
      <c r="C22" s="22">
        <v>66.0</v>
      </c>
      <c r="D22" s="20">
        <v>665.1307880544534</v>
      </c>
      <c r="E22" s="22">
        <v>84.0</v>
      </c>
      <c r="F22" s="20">
        <v>1180.1638007253569</v>
      </c>
      <c r="G22" s="22">
        <v>69.0</v>
      </c>
      <c r="H22" s="20">
        <v>1567.5452618910576</v>
      </c>
      <c r="I22" s="22">
        <v>77.0</v>
      </c>
      <c r="J22" s="20">
        <v>1711.464406779661</v>
      </c>
      <c r="K22" s="22">
        <v>78.0</v>
      </c>
      <c r="L22" s="20">
        <v>2654.564400638132</v>
      </c>
      <c r="M22" s="22">
        <v>65.0</v>
      </c>
    </row>
    <row r="23">
      <c r="A23" s="14"/>
      <c r="B23" s="20">
        <v>735.8695222405272</v>
      </c>
      <c r="C23" s="22">
        <v>81.0</v>
      </c>
      <c r="D23" s="20">
        <v>268.3458696633485</v>
      </c>
      <c r="E23" s="22">
        <v>75.0</v>
      </c>
      <c r="F23" s="20">
        <v>588.288338355497</v>
      </c>
      <c r="G23" s="22">
        <v>82.0</v>
      </c>
      <c r="H23" s="20">
        <v>850.5937679870232</v>
      </c>
      <c r="I23" s="22">
        <v>77.0</v>
      </c>
      <c r="J23" s="20">
        <v>653.3795740982181</v>
      </c>
      <c r="K23" s="22">
        <v>66.0</v>
      </c>
      <c r="L23" s="20">
        <v>632.3188063466937</v>
      </c>
      <c r="M23" s="22">
        <v>94.0</v>
      </c>
    </row>
    <row r="24">
      <c r="A24" s="14" t="s">
        <v>48</v>
      </c>
      <c r="B24" s="20">
        <v>539.5532125205931</v>
      </c>
      <c r="C24" s="22">
        <v>71.0</v>
      </c>
      <c r="D24" s="20">
        <v>620.4064764438954</v>
      </c>
      <c r="E24" s="22">
        <v>78.0</v>
      </c>
      <c r="F24" s="20">
        <v>938.0329297558687</v>
      </c>
      <c r="G24" s="22">
        <v>65.0</v>
      </c>
      <c r="H24" s="20">
        <v>1320.700120349537</v>
      </c>
      <c r="I24" s="22">
        <v>71.0</v>
      </c>
      <c r="J24" s="20">
        <v>1340.890916992612</v>
      </c>
      <c r="K24" s="22">
        <v>82.0</v>
      </c>
      <c r="L24" s="20">
        <v>1812.7777544180753</v>
      </c>
      <c r="M24" s="22">
        <v>80.0</v>
      </c>
    </row>
    <row r="25">
      <c r="A25" s="14" t="s">
        <v>63</v>
      </c>
      <c r="B25" s="20">
        <v>464.8263591433278</v>
      </c>
      <c r="C25" s="22">
        <v>84.0</v>
      </c>
      <c r="D25" s="20">
        <v>461.0044427549832</v>
      </c>
      <c r="E25" s="22">
        <v>69.0</v>
      </c>
      <c r="F25" s="20">
        <v>898.574565597878</v>
      </c>
      <c r="G25" s="22">
        <v>75.0</v>
      </c>
      <c r="H25" s="20">
        <v>1006.2477107425043</v>
      </c>
      <c r="I25" s="22">
        <v>82.0</v>
      </c>
      <c r="J25" s="20">
        <v>952.4388816456612</v>
      </c>
      <c r="K25" s="22">
        <v>81.0</v>
      </c>
      <c r="L25" s="20">
        <v>1354.6892074053003</v>
      </c>
      <c r="M25" s="22">
        <v>79.0</v>
      </c>
    </row>
    <row r="26">
      <c r="A26" s="14" t="s">
        <v>65</v>
      </c>
      <c r="B26" s="20">
        <v>334.37100494233937</v>
      </c>
      <c r="C26" s="22">
        <v>77.0</v>
      </c>
      <c r="D26" s="20">
        <v>327.9782851440926</v>
      </c>
      <c r="E26" s="22">
        <v>77.0</v>
      </c>
      <c r="F26" s="20">
        <v>875.2582595045201</v>
      </c>
      <c r="G26" s="22">
        <v>92.0</v>
      </c>
      <c r="H26" s="20">
        <v>1111.5892679608603</v>
      </c>
      <c r="I26" s="22">
        <v>82.0</v>
      </c>
      <c r="J26" s="20">
        <v>892.3019556714473</v>
      </c>
      <c r="K26" s="22">
        <v>75.0</v>
      </c>
      <c r="L26" s="20">
        <v>1270.5105427832948</v>
      </c>
      <c r="M26" s="22">
        <v>89.0</v>
      </c>
    </row>
    <row r="27">
      <c r="A27" s="14" t="s">
        <v>67</v>
      </c>
      <c r="B27" s="20">
        <v>278.6425041186161</v>
      </c>
      <c r="C27" s="22">
        <v>87.0</v>
      </c>
      <c r="D27" s="20">
        <v>292.4281912998028</v>
      </c>
      <c r="E27" s="22">
        <v>81.0</v>
      </c>
      <c r="F27" s="20">
        <v>591.8754623698597</v>
      </c>
      <c r="G27" s="22">
        <v>78.0</v>
      </c>
      <c r="H27" s="20">
        <v>844.3047197948825</v>
      </c>
      <c r="I27" s="22">
        <v>87.0</v>
      </c>
      <c r="J27" s="20">
        <v>643.6276401564537</v>
      </c>
      <c r="K27" s="22">
        <v>83.0</v>
      </c>
      <c r="L27" s="20">
        <v>833.9560727668469</v>
      </c>
      <c r="M27" s="22">
        <v>94.0</v>
      </c>
    </row>
    <row r="28">
      <c r="A28" s="14" t="s">
        <v>44</v>
      </c>
      <c r="B28" s="20">
        <v>246.97858319604612</v>
      </c>
      <c r="C28" s="22">
        <v>92.0</v>
      </c>
      <c r="D28" s="20">
        <v>213.30056306573852</v>
      </c>
      <c r="E28" s="22">
        <v>77.0</v>
      </c>
      <c r="F28" s="20">
        <v>451.9776258097111</v>
      </c>
      <c r="G28" s="22">
        <v>76.0</v>
      </c>
      <c r="H28" s="20">
        <v>306.5910993668568</v>
      </c>
      <c r="I28" s="22">
        <v>76.0</v>
      </c>
      <c r="J28" s="20">
        <v>468.0928292046936</v>
      </c>
      <c r="K28" s="22">
        <v>87.0</v>
      </c>
      <c r="L28" s="20">
        <v>487.4531974623119</v>
      </c>
      <c r="M28" s="22">
        <v>84.0</v>
      </c>
    </row>
    <row r="29">
      <c r="A29" s="14" t="s">
        <v>70</v>
      </c>
      <c r="B29" s="20">
        <v>222.91400329489292</v>
      </c>
      <c r="C29" s="22">
        <v>90.0</v>
      </c>
      <c r="D29" s="20">
        <v>189.21824142928418</v>
      </c>
      <c r="E29" s="22">
        <v>71.0</v>
      </c>
      <c r="F29" s="20">
        <v>324.6347232998322</v>
      </c>
      <c r="G29" s="22">
        <v>75.0</v>
      </c>
      <c r="H29" s="20">
        <v>361.6202710480875</v>
      </c>
      <c r="I29" s="22">
        <v>79.0</v>
      </c>
      <c r="J29" s="20">
        <v>359.19623352165723</v>
      </c>
      <c r="K29" s="22">
        <v>77.0</v>
      </c>
      <c r="L29" s="20">
        <v>381.74045584397913</v>
      </c>
      <c r="M29" s="22">
        <v>87.0</v>
      </c>
    </row>
    <row r="30">
      <c r="A30" s="14" t="s">
        <v>37</v>
      </c>
      <c r="B30" s="20">
        <v>139.32125205930805</v>
      </c>
      <c r="C30" s="22">
        <v>87.0</v>
      </c>
      <c r="D30" s="20">
        <v>322.24439904017487</v>
      </c>
      <c r="E30" s="22">
        <v>80.0</v>
      </c>
      <c r="F30" s="20">
        <v>412.51926165172046</v>
      </c>
      <c r="G30" s="22">
        <v>66.0</v>
      </c>
      <c r="H30" s="20">
        <v>1207.497252891005</v>
      </c>
      <c r="I30" s="22">
        <v>72.0</v>
      </c>
      <c r="J30" s="20">
        <v>1243.3715775749674</v>
      </c>
      <c r="K30" s="22">
        <v>69.0</v>
      </c>
      <c r="L30" s="20">
        <v>1973.304510208877</v>
      </c>
      <c r="M30" s="22">
        <v>89.0</v>
      </c>
    </row>
    <row r="31">
      <c r="A31" s="14" t="s">
        <v>53</v>
      </c>
      <c r="B31" s="20">
        <v>122.85601317957168</v>
      </c>
      <c r="C31" s="22">
        <v>75.0</v>
      </c>
      <c r="D31" s="20">
        <v>92.88895488346677</v>
      </c>
      <c r="E31" s="22">
        <v>74.0</v>
      </c>
      <c r="F31" s="20">
        <v>303.1119792136555</v>
      </c>
      <c r="G31" s="22">
        <v>80.0</v>
      </c>
      <c r="H31" s="20">
        <v>213.82763853278217</v>
      </c>
      <c r="I31" s="22">
        <v>83.0</v>
      </c>
      <c r="J31" s="20">
        <v>277.93011734028687</v>
      </c>
      <c r="K31" s="22">
        <v>77.0</v>
      </c>
      <c r="L31" s="20">
        <v>315.1805814916956</v>
      </c>
      <c r="M31" s="22">
        <v>70.0</v>
      </c>
    </row>
    <row r="32">
      <c r="A32" s="14" t="s">
        <v>74</v>
      </c>
      <c r="B32" s="20">
        <v>122.85601317957168</v>
      </c>
      <c r="C32" s="22">
        <v>65.0</v>
      </c>
      <c r="D32" s="20">
        <v>112.38416763678696</v>
      </c>
      <c r="E32" s="22">
        <v>95.0</v>
      </c>
      <c r="F32" s="20">
        <v>173.97551469659516</v>
      </c>
      <c r="G32" s="22">
        <v>78.0</v>
      </c>
      <c r="H32" s="20">
        <v>273.5735963581184</v>
      </c>
      <c r="I32" s="22">
        <v>82.0</v>
      </c>
      <c r="J32" s="20">
        <v>303.93527451832534</v>
      </c>
      <c r="K32" s="22">
        <v>68.0</v>
      </c>
      <c r="L32" s="20">
        <v>397.4016027503988</v>
      </c>
      <c r="M32" s="22">
        <v>93.0</v>
      </c>
    </row>
    <row r="33">
      <c r="A33" s="14" t="s">
        <v>75</v>
      </c>
      <c r="B33" s="20">
        <v>116.52322899505766</v>
      </c>
      <c r="C33" s="22">
        <v>91.0</v>
      </c>
      <c r="D33" s="20">
        <v>119.2648309614882</v>
      </c>
      <c r="E33" s="22">
        <v>67.0</v>
      </c>
      <c r="F33" s="20">
        <v>278.002111113116</v>
      </c>
      <c r="G33" s="22">
        <v>94.0</v>
      </c>
      <c r="H33" s="20">
        <v>262.5677620218722</v>
      </c>
      <c r="I33" s="22">
        <v>78.0</v>
      </c>
      <c r="J33" s="20">
        <v>294.1833405765609</v>
      </c>
      <c r="K33" s="22">
        <v>68.0</v>
      </c>
      <c r="L33" s="20">
        <v>448.30033019626273</v>
      </c>
      <c r="M33" s="22">
        <v>93.0</v>
      </c>
    </row>
    <row r="34">
      <c r="A34" s="14" t="s">
        <v>76</v>
      </c>
      <c r="B34" s="20">
        <v>91.19209225700165</v>
      </c>
      <c r="C34" s="22">
        <v>79.0</v>
      </c>
      <c r="D34" s="20">
        <v>84.86151433798199</v>
      </c>
      <c r="E34" s="22">
        <v>67.0</v>
      </c>
      <c r="F34" s="20">
        <v>157.8334566319626</v>
      </c>
      <c r="G34" s="22">
        <v>94.0</v>
      </c>
      <c r="H34" s="20">
        <v>205.96632829260633</v>
      </c>
      <c r="I34" s="22">
        <v>94.0</v>
      </c>
      <c r="J34" s="20">
        <v>196.6640011589164</v>
      </c>
      <c r="K34" s="22">
        <v>82.0</v>
      </c>
      <c r="L34" s="20">
        <v>336.7146584880227</v>
      </c>
      <c r="M34" s="22">
        <v>81.0</v>
      </c>
    </row>
    <row r="35">
      <c r="A35" s="14" t="s">
        <v>77</v>
      </c>
      <c r="B35" s="20">
        <v>86.12586490939044</v>
      </c>
      <c r="C35" s="22">
        <v>68.0</v>
      </c>
      <c r="D35" s="20">
        <v>63.07274714309472</v>
      </c>
      <c r="E35" s="22">
        <v>84.0</v>
      </c>
      <c r="F35" s="20">
        <v>102.23303440933942</v>
      </c>
      <c r="G35" s="22">
        <v>82.0</v>
      </c>
      <c r="H35" s="20">
        <v>117.91965360263724</v>
      </c>
      <c r="I35" s="22">
        <v>69.0</v>
      </c>
      <c r="J35" s="20">
        <v>112.14724033029118</v>
      </c>
      <c r="K35" s="22">
        <v>74.0</v>
      </c>
      <c r="L35" s="20">
        <v>156.6114690641966</v>
      </c>
      <c r="M35" s="22">
        <v>94.0</v>
      </c>
    </row>
    <row r="36">
      <c r="A36" s="14" t="s">
        <v>72</v>
      </c>
      <c r="B36" s="20">
        <v>84.85930807248765</v>
      </c>
      <c r="C36" s="22">
        <v>79.0</v>
      </c>
      <c r="D36" s="20">
        <v>87.15506877954907</v>
      </c>
      <c r="E36" s="22">
        <v>85.0</v>
      </c>
      <c r="F36" s="20">
        <v>317.4604752711066</v>
      </c>
      <c r="G36" s="22">
        <v>73.0</v>
      </c>
      <c r="H36" s="20">
        <v>385.20420176861495</v>
      </c>
      <c r="I36" s="22">
        <v>77.0</v>
      </c>
      <c r="J36" s="20">
        <v>381.950746052441</v>
      </c>
      <c r="K36" s="22">
        <v>78.0</v>
      </c>
      <c r="L36" s="20">
        <v>602.9541558971569</v>
      </c>
      <c r="M36" s="22">
        <v>90.0</v>
      </c>
    </row>
    <row r="37">
      <c r="A37" s="14" t="s">
        <v>56</v>
      </c>
      <c r="B37" s="20">
        <v>73.46029654036245</v>
      </c>
      <c r="C37" s="22">
        <v>90.0</v>
      </c>
      <c r="D37" s="20">
        <v>56.19208381839348</v>
      </c>
      <c r="E37" s="22">
        <v>72.0</v>
      </c>
      <c r="F37" s="20">
        <v>89.67810035906966</v>
      </c>
      <c r="G37" s="22">
        <v>80.0</v>
      </c>
      <c r="H37" s="20">
        <v>84.90215059389881</v>
      </c>
      <c r="I37" s="22">
        <v>86.0</v>
      </c>
      <c r="J37" s="20">
        <v>71.51418223960597</v>
      </c>
      <c r="K37" s="22">
        <v>93.0</v>
      </c>
      <c r="L37" s="20">
        <v>92.00923807521549</v>
      </c>
      <c r="M37" s="22">
        <v>75.0</v>
      </c>
    </row>
    <row r="38">
      <c r="A38" s="14" t="s">
        <v>78</v>
      </c>
      <c r="B38" s="20">
        <v>50.66227347611203</v>
      </c>
      <c r="C38" s="22">
        <v>94.0</v>
      </c>
      <c r="D38" s="20">
        <v>42.43075716899099</v>
      </c>
      <c r="E38" s="22">
        <v>86.0</v>
      </c>
      <c r="F38" s="20">
        <v>82.50385233034409</v>
      </c>
      <c r="G38" s="22">
        <v>92.0</v>
      </c>
      <c r="H38" s="20">
        <v>69.17953011354717</v>
      </c>
      <c r="I38" s="22">
        <v>89.0</v>
      </c>
      <c r="J38" s="20">
        <v>69.88885991597856</v>
      </c>
      <c r="K38" s="22">
        <v>89.0</v>
      </c>
      <c r="L38" s="20">
        <v>95.92452480182041</v>
      </c>
      <c r="M38" s="22">
        <v>70.0</v>
      </c>
    </row>
    <row r="39">
      <c r="A39" s="14" t="s">
        <v>80</v>
      </c>
      <c r="B39" s="20">
        <v>37.99670510708402</v>
      </c>
      <c r="C39" s="22">
        <v>83.0</v>
      </c>
      <c r="D39" s="20">
        <v>35.550093844289755</v>
      </c>
      <c r="E39" s="22">
        <v>71.0</v>
      </c>
      <c r="F39" s="20">
        <v>66.36179426571155</v>
      </c>
      <c r="G39" s="22">
        <v>73.0</v>
      </c>
      <c r="H39" s="20">
        <v>72.32405420961749</v>
      </c>
      <c r="I39" s="22">
        <v>68.0</v>
      </c>
      <c r="J39" s="20">
        <v>81.26611618137042</v>
      </c>
      <c r="K39" s="22">
        <v>93.0</v>
      </c>
      <c r="L39" s="20">
        <v>111.58567170824007</v>
      </c>
      <c r="M39" s="22">
        <v>88.0</v>
      </c>
    </row>
    <row r="40">
      <c r="A40" s="14" t="s">
        <v>81</v>
      </c>
      <c r="B40" s="20">
        <v>32.930477759472815</v>
      </c>
      <c r="C40" s="22">
        <v>65.0</v>
      </c>
      <c r="D40" s="20">
        <v>50.45819771447578</v>
      </c>
      <c r="E40" s="22">
        <v>71.0</v>
      </c>
      <c r="F40" s="20">
        <v>87.88453835188828</v>
      </c>
      <c r="G40" s="22">
        <v>68.0</v>
      </c>
      <c r="H40" s="20">
        <v>81.75762649782848</v>
      </c>
      <c r="I40" s="22">
        <v>74.0</v>
      </c>
      <c r="J40" s="20">
        <v>118.64852962480082</v>
      </c>
      <c r="K40" s="22">
        <v>73.0</v>
      </c>
      <c r="L40" s="20">
        <v>213.38312659996785</v>
      </c>
      <c r="M40" s="22">
        <v>70.0</v>
      </c>
    </row>
    <row r="41">
      <c r="A41" s="14" t="s">
        <v>82</v>
      </c>
      <c r="B41" s="20">
        <v>31.663920922570014</v>
      </c>
      <c r="C41" s="22">
        <v>65.0</v>
      </c>
      <c r="D41" s="20">
        <v>25.22909885723789</v>
      </c>
      <c r="E41" s="22">
        <v>92.0</v>
      </c>
      <c r="F41" s="20">
        <v>121.96221648833475</v>
      </c>
      <c r="G41" s="22">
        <v>82.0</v>
      </c>
      <c r="H41" s="20">
        <v>143.07584637119984</v>
      </c>
      <c r="I41" s="22">
        <v>66.0</v>
      </c>
      <c r="J41" s="20">
        <v>128.40046356656526</v>
      </c>
      <c r="K41" s="22">
        <v>68.0</v>
      </c>
      <c r="L41" s="20">
        <v>113.54331507154252</v>
      </c>
      <c r="M41" s="22">
        <v>85.0</v>
      </c>
    </row>
    <row r="42">
      <c r="A42" s="14" t="s">
        <v>83</v>
      </c>
      <c r="B42" s="20">
        <v>25.331136738056014</v>
      </c>
      <c r="C42" s="22">
        <v>81.0</v>
      </c>
      <c r="D42" s="20">
        <v>21.788767194887267</v>
      </c>
      <c r="E42" s="22">
        <v>82.0</v>
      </c>
      <c r="F42" s="20">
        <v>35.871240143627865</v>
      </c>
      <c r="G42" s="22">
        <v>88.0</v>
      </c>
      <c r="H42" s="20">
        <v>29.872978912668096</v>
      </c>
      <c r="I42" s="22">
        <v>78.0</v>
      </c>
      <c r="J42" s="20">
        <v>39.0077357670578</v>
      </c>
      <c r="K42" s="22">
        <v>76.0</v>
      </c>
      <c r="L42" s="20">
        <v>46.98344071925897</v>
      </c>
      <c r="M42" s="22">
        <v>79.0</v>
      </c>
    </row>
    <row r="43">
      <c r="A43" s="14" t="s">
        <v>43</v>
      </c>
      <c r="B43" s="20">
        <v>21.53146622734761</v>
      </c>
      <c r="C43" s="22">
        <v>70.0</v>
      </c>
      <c r="D43" s="20">
        <v>13.761326649402486</v>
      </c>
      <c r="E43" s="22">
        <v>90.0</v>
      </c>
      <c r="F43" s="20">
        <v>25.109868100539508</v>
      </c>
      <c r="G43" s="22">
        <v>67.0</v>
      </c>
      <c r="H43" s="20">
        <v>15.72262048035163</v>
      </c>
      <c r="I43" s="22">
        <v>85.0</v>
      </c>
      <c r="J43" s="20">
        <v>29.25580182529335</v>
      </c>
      <c r="K43" s="22">
        <v>91.0</v>
      </c>
      <c r="L43" s="20">
        <v>39.15286726604915</v>
      </c>
      <c r="M43" s="22">
        <v>67.0</v>
      </c>
    </row>
    <row r="44">
      <c r="A44" s="14" t="s">
        <v>84</v>
      </c>
      <c r="B44" s="20">
        <v>20.26490939044481</v>
      </c>
      <c r="C44" s="22">
        <v>89.0</v>
      </c>
      <c r="D44" s="20">
        <v>22.935544415670808</v>
      </c>
      <c r="E44" s="22">
        <v>79.0</v>
      </c>
      <c r="F44" s="20">
        <v>21.522744086176722</v>
      </c>
      <c r="G44" s="22">
        <v>65.0</v>
      </c>
      <c r="H44" s="20">
        <v>33.01750300873842</v>
      </c>
      <c r="I44" s="22">
        <v>87.0</v>
      </c>
      <c r="J44" s="20">
        <v>29.25580182529335</v>
      </c>
      <c r="K44" s="22">
        <v>86.0</v>
      </c>
      <c r="L44" s="20">
        <v>27.4070070862344</v>
      </c>
      <c r="M44" s="22">
        <v>67.0</v>
      </c>
    </row>
    <row r="45">
      <c r="A45" s="14" t="s">
        <v>85</v>
      </c>
      <c r="B45" s="20">
        <v>11.399011532125206</v>
      </c>
      <c r="C45" s="22">
        <v>92.0</v>
      </c>
      <c r="D45" s="20">
        <v>18.348435532536644</v>
      </c>
      <c r="E45" s="22">
        <v>85.0</v>
      </c>
      <c r="F45" s="20">
        <v>46.63261218671623</v>
      </c>
      <c r="G45" s="22">
        <v>65.0</v>
      </c>
      <c r="H45" s="20">
        <v>45.595599393019725</v>
      </c>
      <c r="I45" s="22">
        <v>88.0</v>
      </c>
      <c r="J45" s="20">
        <v>40.63305809068521</v>
      </c>
      <c r="K45" s="22">
        <v>79.0</v>
      </c>
      <c r="L45" s="20">
        <v>64.60223098898109</v>
      </c>
      <c r="M45" s="22">
        <v>72.0</v>
      </c>
    </row>
    <row r="46">
      <c r="A46" s="14" t="s">
        <v>86</v>
      </c>
      <c r="B46" s="20">
        <v>10.132454695222405</v>
      </c>
      <c r="C46" s="22">
        <v>86.0</v>
      </c>
      <c r="D46" s="20">
        <v>13.761326649402486</v>
      </c>
      <c r="E46" s="22">
        <v>68.0</v>
      </c>
      <c r="F46" s="20">
        <v>32.28411612926508</v>
      </c>
      <c r="G46" s="22">
        <v>68.0</v>
      </c>
      <c r="H46" s="20">
        <v>14.150358432316466</v>
      </c>
      <c r="I46" s="22">
        <v>69.0</v>
      </c>
      <c r="J46" s="20">
        <v>24.379834854411126</v>
      </c>
      <c r="K46" s="22">
        <v>95.0</v>
      </c>
      <c r="L46" s="20">
        <v>39.15286726604915</v>
      </c>
      <c r="M46" s="22">
        <v>85.0</v>
      </c>
    </row>
    <row r="47">
      <c r="A47" s="14" t="s">
        <v>79</v>
      </c>
      <c r="B47" s="20">
        <v>5.0662273476112025</v>
      </c>
      <c r="C47" s="22">
        <v>65.0</v>
      </c>
      <c r="D47" s="20">
        <v>2.2935544415670805</v>
      </c>
      <c r="E47" s="22">
        <v>81.0</v>
      </c>
      <c r="F47" s="20">
        <v>16.14205806463254</v>
      </c>
      <c r="G47" s="22">
        <v>92.0</v>
      </c>
      <c r="H47" s="20">
        <v>11.005834336246142</v>
      </c>
      <c r="I47" s="22">
        <v>94.0</v>
      </c>
      <c r="J47" s="20">
        <v>9.75193394176445</v>
      </c>
      <c r="K47" s="22">
        <v>70.0</v>
      </c>
      <c r="L47" s="20">
        <v>23.491720359629486</v>
      </c>
      <c r="M47" s="22">
        <v>94.0</v>
      </c>
    </row>
    <row r="48">
      <c r="A48" s="14" t="s">
        <v>87</v>
      </c>
      <c r="B48" s="20">
        <v>5.0662273476112025</v>
      </c>
      <c r="C48" s="22">
        <v>86.0</v>
      </c>
      <c r="D48" s="20">
        <v>8.027440545484783</v>
      </c>
      <c r="E48" s="22">
        <v>79.0</v>
      </c>
      <c r="F48" s="20">
        <v>14.348496057451149</v>
      </c>
      <c r="G48" s="22">
        <v>80.0</v>
      </c>
      <c r="H48" s="20">
        <v>12.578096384281304</v>
      </c>
      <c r="I48" s="22">
        <v>80.0</v>
      </c>
      <c r="J48" s="20">
        <v>11.377256265391859</v>
      </c>
      <c r="K48" s="22">
        <v>70.0</v>
      </c>
      <c r="L48" s="20">
        <v>17.618790269722115</v>
      </c>
      <c r="M48" s="22">
        <v>71.0</v>
      </c>
    </row>
    <row r="49">
      <c r="A49" s="14" t="s">
        <v>60</v>
      </c>
      <c r="B49" s="20">
        <v>1.2665568369028006</v>
      </c>
      <c r="C49" s="22">
        <v>79.0</v>
      </c>
      <c r="D49" s="20">
        <v>0.0</v>
      </c>
      <c r="E49" s="22">
        <v>88.0</v>
      </c>
      <c r="F49" s="20">
        <v>0.0</v>
      </c>
      <c r="G49" s="22">
        <v>65.0</v>
      </c>
      <c r="H49" s="20">
        <v>0.0</v>
      </c>
      <c r="I49" s="22">
        <v>77.0</v>
      </c>
      <c r="J49" s="20">
        <v>3.2506446472548167</v>
      </c>
      <c r="K49" s="22">
        <v>92.0</v>
      </c>
      <c r="L49" s="20">
        <v>1.9576433633024573</v>
      </c>
      <c r="M49" s="22">
        <v>90.0</v>
      </c>
    </row>
    <row r="50">
      <c r="A50" s="14"/>
      <c r="C50" s="14"/>
      <c r="D50" s="20"/>
      <c r="E50" s="14"/>
      <c r="F50" s="20"/>
      <c r="G50" s="14"/>
      <c r="H50" s="20"/>
      <c r="I50" s="14"/>
      <c r="J50" s="20"/>
      <c r="K50" s="14"/>
      <c r="L50" s="20"/>
      <c r="M50" s="14"/>
    </row>
    <row r="51"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</row>
    <row r="52">
      <c r="A52" s="14" t="s">
        <v>88</v>
      </c>
      <c r="B52" s="26"/>
      <c r="C52" s="26">
        <v>0.95</v>
      </c>
      <c r="D52" s="26"/>
      <c r="E52" s="26">
        <v>1.1</v>
      </c>
      <c r="F52" s="26"/>
      <c r="G52" s="26">
        <v>0.94</v>
      </c>
      <c r="H52" s="26"/>
      <c r="I52" s="26">
        <v>0.95</v>
      </c>
      <c r="J52" s="26"/>
      <c r="K52" s="26">
        <v>0.9</v>
      </c>
      <c r="L52" s="26"/>
      <c r="M52" s="26">
        <v>0.92</v>
      </c>
    </row>
    <row r="53">
      <c r="A53" s="14" t="s">
        <v>89</v>
      </c>
      <c r="B53" s="27"/>
      <c r="C53" s="27">
        <v>44189.600000000006</v>
      </c>
      <c r="D53" s="27"/>
      <c r="E53" s="27">
        <v>45458.280000000006</v>
      </c>
      <c r="F53" s="27"/>
      <c r="G53" s="27">
        <v>57637.840000000004</v>
      </c>
      <c r="H53" s="27"/>
      <c r="I53" s="27">
        <v>76444.0</v>
      </c>
      <c r="J53" s="27"/>
      <c r="K53" s="27">
        <v>74552.40000000001</v>
      </c>
      <c r="L53" s="27"/>
      <c r="M53" s="27">
        <v>80861.0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</cols>
  <sheetData>
    <row r="1">
      <c r="A1" s="2" t="s">
        <v>1</v>
      </c>
      <c r="B1" s="3"/>
      <c r="C1" s="3"/>
      <c r="D1" s="3"/>
      <c r="E1" s="3"/>
      <c r="F1" s="3"/>
      <c r="G1" s="3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3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9" t="s">
        <v>18</v>
      </c>
      <c r="B3" s="21">
        <v>1145.2032085561498</v>
      </c>
      <c r="C3" s="21">
        <v>1139.5938009787928</v>
      </c>
      <c r="D3" s="21">
        <v>1047.495743287492</v>
      </c>
      <c r="E3" s="21">
        <v>989.4871541501976</v>
      </c>
      <c r="F3" s="21">
        <v>1070.4621944286525</v>
      </c>
      <c r="G3" s="21">
        <v>868.578947368421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9" t="s">
        <v>22</v>
      </c>
      <c r="B4" s="21">
        <v>998.8203548546081</v>
      </c>
      <c r="C4" s="21">
        <v>912.9100333209922</v>
      </c>
      <c r="D4" s="21">
        <v>820.6846498878645</v>
      </c>
      <c r="E4" s="21">
        <v>799.2921509313803</v>
      </c>
      <c r="F4" s="21">
        <v>829.1194068905364</v>
      </c>
      <c r="G4" s="21">
        <v>793.6961651917404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9" t="s">
        <v>21</v>
      </c>
      <c r="B5" s="21">
        <v>1164.7468524425046</v>
      </c>
      <c r="C5" s="21">
        <v>1064.071348940914</v>
      </c>
      <c r="D5" s="21">
        <v>979.0546162267364</v>
      </c>
      <c r="E5" s="21">
        <v>949.7900563408125</v>
      </c>
      <c r="F5" s="21">
        <v>967.1457188644689</v>
      </c>
      <c r="G5" s="21">
        <v>786.4153354632588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9" t="s">
        <v>29</v>
      </c>
      <c r="B6" s="21">
        <v>1359.7142857142858</v>
      </c>
      <c r="C6" s="21">
        <v>2061.375</v>
      </c>
      <c r="D6" s="21">
        <v>860.8333333333334</v>
      </c>
      <c r="E6" s="21">
        <v>1455.7619047619048</v>
      </c>
      <c r="F6" s="21">
        <v>2046.0</v>
      </c>
      <c r="G6" s="21">
        <v>271.0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9" t="s">
        <v>33</v>
      </c>
      <c r="B7" s="21">
        <v>1165.5874861572536</v>
      </c>
      <c r="C7" s="21">
        <v>953.1111677715452</v>
      </c>
      <c r="D7" s="21">
        <v>929.8622273249139</v>
      </c>
      <c r="E7" s="21">
        <v>955.1014205483978</v>
      </c>
      <c r="F7" s="21">
        <v>889.3625048619215</v>
      </c>
      <c r="G7" s="21">
        <v>655.5098039215686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9" t="s">
        <v>32</v>
      </c>
      <c r="B8" s="21">
        <v>1718.0612134344528</v>
      </c>
      <c r="C8" s="21">
        <v>1494.6200787401574</v>
      </c>
      <c r="D8" s="21">
        <v>1381.8624009060022</v>
      </c>
      <c r="E8" s="21">
        <v>1370.31931166348</v>
      </c>
      <c r="F8" s="21">
        <v>1329.9017489711935</v>
      </c>
      <c r="G8" s="21">
        <v>1035.4897959183672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9" t="s">
        <v>37</v>
      </c>
      <c r="B9" s="21">
        <v>565.1763727121464</v>
      </c>
      <c r="C9" s="21">
        <v>534.8579454253612</v>
      </c>
      <c r="D9" s="21">
        <v>443.89782244556113</v>
      </c>
      <c r="E9" s="21">
        <v>437.04730031236056</v>
      </c>
      <c r="F9" s="21">
        <v>481.46869712351946</v>
      </c>
      <c r="G9" s="21">
        <v>404.3958333333333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9" t="s">
        <v>40</v>
      </c>
      <c r="B10" s="21">
        <v>1104.9523568170298</v>
      </c>
      <c r="C10" s="21">
        <v>1033.129994941831</v>
      </c>
      <c r="D10" s="21">
        <v>1097.9708737864078</v>
      </c>
      <c r="E10" s="21">
        <v>948.8772707133363</v>
      </c>
      <c r="F10" s="21">
        <v>1088.7210256410256</v>
      </c>
      <c r="G10" s="21">
        <v>775.9855072463768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9" t="s">
        <v>43</v>
      </c>
      <c r="B11" s="21">
        <v>1001.6005385996409</v>
      </c>
      <c r="C11" s="21">
        <v>957.34686825054</v>
      </c>
      <c r="D11" s="21">
        <v>893.5361838470888</v>
      </c>
      <c r="E11" s="21">
        <v>844.3929453863849</v>
      </c>
      <c r="F11" s="21">
        <v>876.8978524229075</v>
      </c>
      <c r="G11" s="21">
        <v>733.5911949685535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9" t="s">
        <v>44</v>
      </c>
      <c r="B12" s="21">
        <v>1104.9523568170298</v>
      </c>
      <c r="C12" s="21">
        <v>1033.129994941831</v>
      </c>
      <c r="D12" s="21">
        <v>1097.9708737864078</v>
      </c>
      <c r="E12" s="21">
        <v>948.8772707133363</v>
      </c>
      <c r="F12" s="21">
        <v>1088.7210256410256</v>
      </c>
      <c r="G12" s="21">
        <v>775.9855072463768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9" t="s">
        <v>48</v>
      </c>
      <c r="B13" s="21">
        <v>1104.9523568170298</v>
      </c>
      <c r="C13" s="21">
        <v>1033.129994941831</v>
      </c>
      <c r="D13" s="21">
        <v>1097.9708737864078</v>
      </c>
      <c r="E13" s="21">
        <v>948.8772707133363</v>
      </c>
      <c r="F13" s="21">
        <v>1088.7210256410256</v>
      </c>
      <c r="G13" s="21">
        <v>775.9855072463768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9" t="s">
        <v>50</v>
      </c>
      <c r="B14" s="21">
        <v>1118.329172500534</v>
      </c>
      <c r="C14" s="21">
        <v>1129.961104978795</v>
      </c>
      <c r="D14" s="21">
        <v>1058.4765929161524</v>
      </c>
      <c r="E14" s="21">
        <v>1003.342462867376</v>
      </c>
      <c r="F14" s="21">
        <v>968.7932612466325</v>
      </c>
      <c r="G14" s="21">
        <v>738.8947108255066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9" t="s">
        <v>53</v>
      </c>
      <c r="B15" s="21">
        <v>902.1217268223637</v>
      </c>
      <c r="C15" s="21">
        <v>956.7699633699634</v>
      </c>
      <c r="D15" s="21">
        <v>923.6464646464647</v>
      </c>
      <c r="E15" s="21">
        <v>872.7771428571428</v>
      </c>
      <c r="F15" s="21">
        <v>943.1560913705583</v>
      </c>
      <c r="G15" s="21">
        <v>980.4150943396227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9" t="s">
        <v>56</v>
      </c>
      <c r="B16" s="21">
        <v>1149.8844198395661</v>
      </c>
      <c r="C16" s="21">
        <v>1128.1409869083584</v>
      </c>
      <c r="D16" s="21">
        <v>1033.626039536469</v>
      </c>
      <c r="E16" s="21">
        <v>1017.5809490168374</v>
      </c>
      <c r="F16" s="21">
        <v>1006.129392599488</v>
      </c>
      <c r="G16" s="21">
        <v>821.0662020905924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9" t="s">
        <v>60</v>
      </c>
      <c r="B17" s="21">
        <v>620.1193455245428</v>
      </c>
      <c r="C17" s="21">
        <v>627.4572333685322</v>
      </c>
      <c r="D17" s="21">
        <v>628.6607142857143</v>
      </c>
      <c r="E17" s="21">
        <v>587.7332657200811</v>
      </c>
      <c r="F17" s="21">
        <v>529.3973128598849</v>
      </c>
      <c r="G17" s="21">
        <v>597.4411764705883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9" t="s">
        <v>46</v>
      </c>
      <c r="B18" s="21">
        <v>1207.8211091234348</v>
      </c>
      <c r="C18" s="21">
        <v>1017.996699669967</v>
      </c>
      <c r="D18" s="21">
        <v>964.3644859813085</v>
      </c>
      <c r="E18" s="21">
        <v>1014.7455683003128</v>
      </c>
      <c r="F18" s="21">
        <v>990.4142857142857</v>
      </c>
      <c r="G18" s="21">
        <v>1366.3333333333333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9" t="s">
        <v>41</v>
      </c>
      <c r="B19" s="21">
        <v>1207.8211091234348</v>
      </c>
      <c r="C19" s="21">
        <v>1017.996699669967</v>
      </c>
      <c r="D19" s="21">
        <v>964.3644859813085</v>
      </c>
      <c r="E19" s="21">
        <v>1014.7455683003128</v>
      </c>
      <c r="F19" s="21">
        <v>990.4142857142857</v>
      </c>
      <c r="G19" s="21">
        <v>1366.3333333333333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9" t="s">
        <v>36</v>
      </c>
      <c r="B20" s="21">
        <v>1207.8211091234348</v>
      </c>
      <c r="C20" s="21">
        <v>1017.996699669967</v>
      </c>
      <c r="D20" s="21">
        <v>964.3644859813085</v>
      </c>
      <c r="E20" s="21">
        <v>1014.7455683003128</v>
      </c>
      <c r="F20" s="21">
        <v>990.4142857142857</v>
      </c>
      <c r="G20" s="21">
        <v>1366.3333333333333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9" t="s">
        <v>45</v>
      </c>
      <c r="B21" s="21">
        <v>1008.7502705627705</v>
      </c>
      <c r="C21" s="21">
        <v>939.4334990677439</v>
      </c>
      <c r="D21" s="21">
        <v>881.6931471771735</v>
      </c>
      <c r="E21" s="21">
        <v>817.8620963362159</v>
      </c>
      <c r="F21" s="21">
        <v>835.8178193453114</v>
      </c>
      <c r="G21" s="21">
        <v>827.3574144486691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9" t="s">
        <v>25</v>
      </c>
      <c r="B22" s="21">
        <v>956.73075</v>
      </c>
      <c r="C22" s="21">
        <v>897.4123705838404</v>
      </c>
      <c r="D22" s="21">
        <v>794.8128688291075</v>
      </c>
      <c r="E22" s="21">
        <v>806.8882700743849</v>
      </c>
      <c r="F22" s="21">
        <v>779.9655978774115</v>
      </c>
      <c r="G22" s="21">
        <v>743.766862170088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9" t="s">
        <v>65</v>
      </c>
      <c r="B23" s="21">
        <v>1023.2049007182087</v>
      </c>
      <c r="C23" s="21">
        <v>927.4366616989568</v>
      </c>
      <c r="D23" s="21">
        <v>859.8522030117122</v>
      </c>
      <c r="E23" s="21">
        <v>809.4227579556413</v>
      </c>
      <c r="F23" s="21">
        <v>848.875262789068</v>
      </c>
      <c r="G23" s="21">
        <v>932.1282051282051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9" t="s">
        <v>72</v>
      </c>
      <c r="B24" s="21">
        <v>949.1338672768878</v>
      </c>
      <c r="C24" s="21">
        <v>833.3971397139713</v>
      </c>
      <c r="D24" s="21">
        <v>773.4140934283452</v>
      </c>
      <c r="E24" s="21">
        <v>700.6151761517615</v>
      </c>
      <c r="F24" s="21">
        <v>833.2761050608584</v>
      </c>
      <c r="G24" s="21">
        <v>849.3684210526316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9" t="s">
        <v>74</v>
      </c>
      <c r="B25" s="21">
        <v>992.1752808988764</v>
      </c>
      <c r="C25" s="21">
        <v>1117.471329552615</v>
      </c>
      <c r="D25" s="21">
        <v>864.2861356932153</v>
      </c>
      <c r="E25" s="21">
        <v>818.6090038993265</v>
      </c>
      <c r="F25" s="21">
        <v>839.8217279174726</v>
      </c>
      <c r="G25" s="21">
        <v>803.6454545454545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9" t="s">
        <v>30</v>
      </c>
      <c r="B26" s="21">
        <v>1144.412517257248</v>
      </c>
      <c r="C26" s="21">
        <v>1136.9341925571869</v>
      </c>
      <c r="D26" s="21">
        <v>1041.3815683646112</v>
      </c>
      <c r="E26" s="21">
        <v>1041.4046411856475</v>
      </c>
      <c r="F26" s="21">
        <v>1027.7646119779597</v>
      </c>
      <c r="G26" s="21">
        <v>882.3916532905297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9" t="s">
        <v>55</v>
      </c>
      <c r="B27" s="21">
        <v>902.1740662438336</v>
      </c>
      <c r="C27" s="21">
        <v>843.0125470514429</v>
      </c>
      <c r="D27" s="21">
        <v>838.5636833046472</v>
      </c>
      <c r="E27" s="21">
        <v>773.4236605760298</v>
      </c>
      <c r="F27" s="21">
        <v>811.3783505154639</v>
      </c>
      <c r="G27" s="21">
        <v>673.4307692307692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9" t="s">
        <v>63</v>
      </c>
      <c r="B28" s="21">
        <v>902.1217268223637</v>
      </c>
      <c r="C28" s="21">
        <v>956.7699633699634</v>
      </c>
      <c r="D28" s="21">
        <v>923.6464646464647</v>
      </c>
      <c r="E28" s="21">
        <v>872.7771428571428</v>
      </c>
      <c r="F28" s="21">
        <v>943.1560913705583</v>
      </c>
      <c r="G28" s="21">
        <v>980.4150943396227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9" t="s">
        <v>79</v>
      </c>
      <c r="B29" s="21">
        <v>1144.412517257248</v>
      </c>
      <c r="C29" s="21">
        <v>1136.9341925571869</v>
      </c>
      <c r="D29" s="21">
        <v>1041.3815683646112</v>
      </c>
      <c r="E29" s="21">
        <v>1041.4046411856475</v>
      </c>
      <c r="F29" s="21">
        <v>1027.7646119779597</v>
      </c>
      <c r="G29" s="21">
        <v>882.3916532905297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9" t="s">
        <v>67</v>
      </c>
      <c r="B30" s="21">
        <v>926.8083258122743</v>
      </c>
      <c r="C30" s="21">
        <v>923.2278517328436</v>
      </c>
      <c r="D30" s="21">
        <v>865.5801274373592</v>
      </c>
      <c r="E30" s="21">
        <v>801.9104316295935</v>
      </c>
      <c r="F30" s="21">
        <v>790.4520230256346</v>
      </c>
      <c r="G30" s="21">
        <v>700.701330108827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9" t="s">
        <v>27</v>
      </c>
      <c r="B31" s="21">
        <v>926.8083258122743</v>
      </c>
      <c r="C31" s="21">
        <v>923.2278517328436</v>
      </c>
      <c r="D31" s="21">
        <v>865.5801274373592</v>
      </c>
      <c r="E31" s="21">
        <v>801.9104316295935</v>
      </c>
      <c r="F31" s="21">
        <v>790.4520230256346</v>
      </c>
      <c r="G31" s="21">
        <v>700.701330108827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9" t="s">
        <v>39</v>
      </c>
      <c r="B32" s="21">
        <v>926.8083258122743</v>
      </c>
      <c r="C32" s="21">
        <v>923.2278517328436</v>
      </c>
      <c r="D32" s="21">
        <v>865.5801274373592</v>
      </c>
      <c r="E32" s="21">
        <v>801.9104316295935</v>
      </c>
      <c r="F32" s="21">
        <v>790.4520230256346</v>
      </c>
      <c r="G32" s="21">
        <v>700.701330108827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9" t="s">
        <v>82</v>
      </c>
      <c r="B33" s="21">
        <v>926.8083258122743</v>
      </c>
      <c r="C33" s="21">
        <v>923.2278517328436</v>
      </c>
      <c r="D33" s="21">
        <v>865.5801274373592</v>
      </c>
      <c r="E33" s="21">
        <v>801.9104316295935</v>
      </c>
      <c r="F33" s="21">
        <v>790.4520230256346</v>
      </c>
      <c r="G33" s="21">
        <v>700.701330108827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9" t="s">
        <v>51</v>
      </c>
      <c r="B34" s="21">
        <v>998.8203548546081</v>
      </c>
      <c r="C34" s="21">
        <v>912.9100333209922</v>
      </c>
      <c r="D34" s="21">
        <v>820.6846498878645</v>
      </c>
      <c r="E34" s="21">
        <v>799.2921509313803</v>
      </c>
      <c r="F34" s="21">
        <v>829.1194068905364</v>
      </c>
      <c r="G34" s="21">
        <v>793.6961651917404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9" t="s">
        <v>81</v>
      </c>
      <c r="B35" s="21">
        <v>1167.4622071050642</v>
      </c>
      <c r="C35" s="21">
        <v>1174.014123185563</v>
      </c>
      <c r="D35" s="21">
        <v>1064.6970983722576</v>
      </c>
      <c r="E35" s="21">
        <v>1056.4015247776365</v>
      </c>
      <c r="F35" s="21">
        <v>1094.4013249651325</v>
      </c>
      <c r="G35" s="21">
        <v>738.7235772357724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9" t="s">
        <v>58</v>
      </c>
      <c r="B36" s="21">
        <v>1118.329172500534</v>
      </c>
      <c r="C36" s="21">
        <v>1129.961104978795</v>
      </c>
      <c r="D36" s="21">
        <v>1058.4765929161524</v>
      </c>
      <c r="E36" s="21">
        <v>1003.342462867376</v>
      </c>
      <c r="F36" s="21">
        <v>968.7932612466325</v>
      </c>
      <c r="G36" s="21">
        <v>738.8947108255066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9" t="s">
        <v>70</v>
      </c>
      <c r="B37" s="21">
        <v>1004.5728155339806</v>
      </c>
      <c r="C37" s="21">
        <v>1500.125</v>
      </c>
      <c r="D37" s="21">
        <v>800.3235294117648</v>
      </c>
      <c r="E37" s="21">
        <v>974.5443037974684</v>
      </c>
      <c r="F37" s="21">
        <v>815.710843373494</v>
      </c>
      <c r="G37" s="21">
        <v>887.0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9" t="s">
        <v>78</v>
      </c>
      <c r="B38" s="21">
        <v>1141.4065420560748</v>
      </c>
      <c r="C38" s="21">
        <v>1120.4423076923076</v>
      </c>
      <c r="D38" s="21">
        <v>1077.8055028462998</v>
      </c>
      <c r="E38" s="21">
        <v>954.859577922078</v>
      </c>
      <c r="F38" s="21">
        <v>974.0998452012384</v>
      </c>
      <c r="G38" s="21">
        <v>641.9090909090909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9" t="s">
        <v>77</v>
      </c>
      <c r="B39" s="21">
        <v>1141.4065420560748</v>
      </c>
      <c r="C39" s="21">
        <v>1120.4423076923076</v>
      </c>
      <c r="D39" s="21">
        <v>1077.8055028462998</v>
      </c>
      <c r="E39" s="21">
        <v>954.859577922078</v>
      </c>
      <c r="F39" s="21">
        <v>974.0998452012384</v>
      </c>
      <c r="G39" s="21">
        <v>641.9090909090909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9" t="s">
        <v>84</v>
      </c>
      <c r="B40" s="21">
        <v>1141.4065420560748</v>
      </c>
      <c r="C40" s="21">
        <v>1120.4423076923076</v>
      </c>
      <c r="D40" s="21">
        <v>1077.8055028462998</v>
      </c>
      <c r="E40" s="21">
        <v>954.859577922078</v>
      </c>
      <c r="F40" s="21">
        <v>974.0998452012384</v>
      </c>
      <c r="G40" s="21">
        <v>641.9090909090909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9" t="s">
        <v>83</v>
      </c>
      <c r="B41" s="21">
        <v>1141.4065420560748</v>
      </c>
      <c r="C41" s="21">
        <v>1120.4423076923076</v>
      </c>
      <c r="D41" s="21">
        <v>1077.8055028462998</v>
      </c>
      <c r="E41" s="21">
        <v>954.859577922078</v>
      </c>
      <c r="F41" s="21">
        <v>974.0998452012384</v>
      </c>
      <c r="G41" s="21">
        <v>641.9090909090909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9" t="s">
        <v>86</v>
      </c>
      <c r="B42" s="21">
        <v>1141.4065420560748</v>
      </c>
      <c r="C42" s="21">
        <v>1120.4423076923076</v>
      </c>
      <c r="D42" s="21">
        <v>1077.8055028462998</v>
      </c>
      <c r="E42" s="21">
        <v>954.859577922078</v>
      </c>
      <c r="F42" s="21">
        <v>974.0998452012384</v>
      </c>
      <c r="G42" s="21">
        <v>641.9090909090909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9" t="s">
        <v>85</v>
      </c>
      <c r="B43" s="21">
        <v>902.1217268223637</v>
      </c>
      <c r="C43" s="21">
        <v>956.7699633699634</v>
      </c>
      <c r="D43" s="21">
        <v>923.6464646464647</v>
      </c>
      <c r="E43" s="21">
        <v>872.7771428571428</v>
      </c>
      <c r="F43" s="21">
        <v>943.1560913705583</v>
      </c>
      <c r="G43" s="21">
        <v>980.4150943396227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9" t="s">
        <v>75</v>
      </c>
      <c r="B44" s="21">
        <v>902.1217268223637</v>
      </c>
      <c r="C44" s="21">
        <v>956.7699633699634</v>
      </c>
      <c r="D44" s="21">
        <v>923.6464646464647</v>
      </c>
      <c r="E44" s="21">
        <v>872.7771428571428</v>
      </c>
      <c r="F44" s="21">
        <v>943.1560913705583</v>
      </c>
      <c r="G44" s="21">
        <v>980.4150943396227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9" t="s">
        <v>76</v>
      </c>
      <c r="B45" s="21">
        <v>902.1217268223637</v>
      </c>
      <c r="C45" s="21">
        <v>956.7699633699634</v>
      </c>
      <c r="D45" s="21">
        <v>923.6464646464647</v>
      </c>
      <c r="E45" s="21">
        <v>872.7771428571428</v>
      </c>
      <c r="F45" s="21">
        <v>943.1560913705583</v>
      </c>
      <c r="G45" s="21">
        <v>980.4150943396227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19" t="s">
        <v>87</v>
      </c>
      <c r="B46" s="21">
        <v>1001.6005385996409</v>
      </c>
      <c r="C46" s="21">
        <v>957.34686825054</v>
      </c>
      <c r="D46" s="21">
        <v>893.5361838470888</v>
      </c>
      <c r="E46" s="21">
        <v>844.3929453863849</v>
      </c>
      <c r="F46" s="21">
        <v>876.8978524229075</v>
      </c>
      <c r="G46" s="21">
        <v>733.5911949685535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19" t="s">
        <v>80</v>
      </c>
      <c r="B47" s="21">
        <v>1008.7502705627705</v>
      </c>
      <c r="C47" s="21">
        <v>939.4334990677439</v>
      </c>
      <c r="D47" s="21">
        <v>881.6931471771735</v>
      </c>
      <c r="E47" s="21">
        <v>817.8620963362159</v>
      </c>
      <c r="F47" s="21">
        <v>835.8178193453114</v>
      </c>
      <c r="G47" s="21">
        <v>827.3574144486691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1"/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9" t="s">
        <v>8</v>
      </c>
      <c r="B2" s="10">
        <v>49972.0</v>
      </c>
      <c r="C2" s="10">
        <v>48269.0</v>
      </c>
      <c r="D2" s="10">
        <v>99401.0</v>
      </c>
      <c r="E2" s="10">
        <f>SUM(E3:E6)</f>
        <v>120190</v>
      </c>
      <c r="F2" s="10">
        <v>112196.0</v>
      </c>
      <c r="G2" s="10">
        <v>158297.0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8" t="s">
        <v>19</v>
      </c>
      <c r="B3" s="10">
        <v>12307.0</v>
      </c>
      <c r="C3" s="10">
        <v>11976.0</v>
      </c>
      <c r="D3" s="10">
        <v>24479.0</v>
      </c>
      <c r="E3" s="10">
        <v>30000.0</v>
      </c>
      <c r="F3" s="10">
        <v>27630.0</v>
      </c>
      <c r="G3" s="10">
        <v>38984.0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8" t="s">
        <v>20</v>
      </c>
      <c r="B4" s="10">
        <v>12679.0</v>
      </c>
      <c r="C4" s="10">
        <v>11976.0</v>
      </c>
      <c r="D4" s="10">
        <v>25221.0</v>
      </c>
      <c r="E4" s="10">
        <v>30000.0</v>
      </c>
      <c r="F4" s="10">
        <v>28468.0</v>
      </c>
      <c r="G4" s="10">
        <v>40165.0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8" t="s">
        <v>23</v>
      </c>
      <c r="B5" s="10">
        <v>12679.0</v>
      </c>
      <c r="C5" s="10">
        <v>11976.0</v>
      </c>
      <c r="D5" s="10">
        <v>25221.0</v>
      </c>
      <c r="E5" s="10">
        <v>32000.0</v>
      </c>
      <c r="F5" s="10">
        <v>28468.0</v>
      </c>
      <c r="G5" s="10">
        <v>40165.0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8" t="s">
        <v>26</v>
      </c>
      <c r="B6" s="10">
        <v>12307.0</v>
      </c>
      <c r="C6" s="10">
        <v>12339.0</v>
      </c>
      <c r="D6" s="10">
        <v>24479.0</v>
      </c>
      <c r="E6" s="10">
        <v>28190.0</v>
      </c>
      <c r="F6" s="10">
        <v>27630.0</v>
      </c>
      <c r="G6" s="10">
        <v>38984.0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9" t="s">
        <v>28</v>
      </c>
      <c r="B7" s="10">
        <v>23586.0</v>
      </c>
      <c r="C7" s="10">
        <v>21577.0</v>
      </c>
      <c r="D7" s="10">
        <v>38953.0</v>
      </c>
      <c r="E7" s="10">
        <v>33510.0</v>
      </c>
      <c r="F7" s="10">
        <v>32777.0</v>
      </c>
      <c r="G7" s="10">
        <v>32849.0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8" t="s">
        <v>31</v>
      </c>
      <c r="B8" s="10">
        <v>5808.0</v>
      </c>
      <c r="C8" s="10">
        <v>5354.0</v>
      </c>
      <c r="D8" s="10">
        <v>9593.0</v>
      </c>
      <c r="E8" s="10">
        <v>8252.0</v>
      </c>
      <c r="F8" s="10">
        <v>8072.0</v>
      </c>
      <c r="G8" s="10">
        <v>8090.0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8" t="s">
        <v>34</v>
      </c>
      <c r="B9" s="10">
        <v>5984.0</v>
      </c>
      <c r="C9" s="10">
        <v>5354.0</v>
      </c>
      <c r="D9" s="10">
        <v>9884.0</v>
      </c>
      <c r="E9" s="10">
        <v>8502.0</v>
      </c>
      <c r="F9" s="10">
        <v>8317.0</v>
      </c>
      <c r="G9" s="10">
        <v>8335.0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8" t="s">
        <v>35</v>
      </c>
      <c r="B10" s="10">
        <v>5984.0</v>
      </c>
      <c r="C10" s="10">
        <v>5354.0</v>
      </c>
      <c r="D10" s="10">
        <v>9884.0</v>
      </c>
      <c r="E10" s="10">
        <v>8502.0</v>
      </c>
      <c r="F10" s="10">
        <v>8317.0</v>
      </c>
      <c r="G10" s="10">
        <v>8335.0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8" t="s">
        <v>38</v>
      </c>
      <c r="B11" s="10">
        <v>5808.0</v>
      </c>
      <c r="C11" s="10">
        <v>5516.0</v>
      </c>
      <c r="D11" s="10">
        <v>9593.0</v>
      </c>
      <c r="E11" s="10">
        <v>8252.0</v>
      </c>
      <c r="F11" s="10">
        <v>8072.0</v>
      </c>
      <c r="G11" s="10">
        <v>8090.0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9" t="s">
        <v>42</v>
      </c>
      <c r="B12" s="10">
        <v>13580.0</v>
      </c>
      <c r="C12" s="10">
        <v>11514.0</v>
      </c>
      <c r="D12" s="10">
        <v>20909.0</v>
      </c>
      <c r="E12" s="10">
        <f t="shared" ref="E12:G12" si="1">SUM(E13:E16)</f>
        <v>28614</v>
      </c>
      <c r="F12" s="10">
        <f t="shared" si="1"/>
        <v>20962</v>
      </c>
      <c r="G12" s="10">
        <f t="shared" si="1"/>
        <v>21878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8" t="s">
        <v>47</v>
      </c>
      <c r="B13" s="10">
        <v>3344.0</v>
      </c>
      <c r="C13" s="10">
        <v>2857.0</v>
      </c>
      <c r="D13" s="10">
        <v>5149.0</v>
      </c>
      <c r="E13" s="10">
        <v>7210.0</v>
      </c>
      <c r="F13" s="10">
        <v>5162.0</v>
      </c>
      <c r="G13" s="10">
        <v>5388.0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8" t="s">
        <v>49</v>
      </c>
      <c r="B14" s="10">
        <v>3446.0</v>
      </c>
      <c r="C14" s="10">
        <v>2857.0</v>
      </c>
      <c r="D14" s="10">
        <v>5305.0</v>
      </c>
      <c r="E14" s="10">
        <v>7102.0</v>
      </c>
      <c r="F14" s="10">
        <v>5319.0</v>
      </c>
      <c r="G14" s="10">
        <v>5551.0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>
      <c r="A15" s="18" t="s">
        <v>52</v>
      </c>
      <c r="B15" s="10">
        <v>3446.0</v>
      </c>
      <c r="C15" s="10">
        <v>2857.0</v>
      </c>
      <c r="D15" s="10">
        <v>5305.0</v>
      </c>
      <c r="E15" s="10">
        <v>7102.0</v>
      </c>
      <c r="F15" s="10">
        <v>5319.0</v>
      </c>
      <c r="G15" s="10">
        <v>5551.0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>
      <c r="A16" s="18" t="s">
        <v>54</v>
      </c>
      <c r="B16" s="10">
        <v>3344.0</v>
      </c>
      <c r="C16" s="10">
        <v>2943.0</v>
      </c>
      <c r="D16" s="10">
        <v>5149.0</v>
      </c>
      <c r="E16" s="10">
        <v>7200.0</v>
      </c>
      <c r="F16" s="10">
        <v>5162.0</v>
      </c>
      <c r="G16" s="10">
        <v>5388.0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9" t="s">
        <v>57</v>
      </c>
      <c r="B17" s="10">
        <v>18583.0</v>
      </c>
      <c r="C17" s="10">
        <v>16631.0</v>
      </c>
      <c r="D17" s="10">
        <v>28446.0</v>
      </c>
      <c r="E17" s="10">
        <v>29222.0</v>
      </c>
      <c r="F17" s="10">
        <v>27715.0</v>
      </c>
      <c r="G17" s="10">
        <v>29888.0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>
      <c r="A18" s="18" t="s">
        <v>59</v>
      </c>
      <c r="B18" s="10">
        <v>4576.0</v>
      </c>
      <c r="C18" s="10">
        <v>4126.0</v>
      </c>
      <c r="D18" s="10">
        <v>7005.0</v>
      </c>
      <c r="E18" s="10">
        <v>7197.0</v>
      </c>
      <c r="F18" s="10">
        <v>6825.0</v>
      </c>
      <c r="G18" s="10">
        <v>7361.0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8" t="s">
        <v>61</v>
      </c>
      <c r="B19" s="10">
        <v>4715.0</v>
      </c>
      <c r="C19" s="10">
        <v>4126.0</v>
      </c>
      <c r="D19" s="10">
        <v>7218.0</v>
      </c>
      <c r="E19" s="10">
        <v>7415.0</v>
      </c>
      <c r="F19" s="10">
        <v>7032.0</v>
      </c>
      <c r="G19" s="10">
        <v>7584.0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>
      <c r="A20" s="18" t="s">
        <v>62</v>
      </c>
      <c r="B20" s="10">
        <v>4715.0</v>
      </c>
      <c r="C20" s="10">
        <v>4126.0</v>
      </c>
      <c r="D20" s="10">
        <v>7218.0</v>
      </c>
      <c r="E20" s="10">
        <v>7415.0</v>
      </c>
      <c r="F20" s="10">
        <v>7032.0</v>
      </c>
      <c r="G20" s="10">
        <v>7584.0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>
      <c r="A21" s="18" t="s">
        <v>64</v>
      </c>
      <c r="B21" s="10">
        <v>4576.0</v>
      </c>
      <c r="C21" s="10">
        <v>4251.0</v>
      </c>
      <c r="D21" s="10">
        <v>7005.0</v>
      </c>
      <c r="E21" s="10">
        <v>7197.0</v>
      </c>
      <c r="F21" s="10">
        <v>6825.0</v>
      </c>
      <c r="G21" s="10">
        <v>7361.0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>
      <c r="A22" s="9" t="s">
        <v>66</v>
      </c>
      <c r="B22" s="10">
        <v>15724.0</v>
      </c>
      <c r="C22" s="10">
        <v>15624.0</v>
      </c>
      <c r="D22" s="10">
        <v>25034.0</v>
      </c>
      <c r="E22" s="10">
        <v>26808.0</v>
      </c>
      <c r="F22" s="10">
        <v>25564.0</v>
      </c>
      <c r="G22" s="10">
        <v>24239.0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>
      <c r="A23" s="18" t="s">
        <v>68</v>
      </c>
      <c r="B23" s="10">
        <v>3872.0</v>
      </c>
      <c r="C23" s="10">
        <v>3877.0</v>
      </c>
      <c r="D23" s="10">
        <v>6165.0</v>
      </c>
      <c r="E23" s="10">
        <v>6602.0</v>
      </c>
      <c r="F23" s="10">
        <v>6296.0</v>
      </c>
      <c r="G23" s="10">
        <v>5969.0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8" t="s">
        <v>69</v>
      </c>
      <c r="B24" s="10">
        <v>3990.0</v>
      </c>
      <c r="C24" s="10">
        <v>3877.0</v>
      </c>
      <c r="D24" s="10">
        <v>6352.0</v>
      </c>
      <c r="E24" s="10">
        <v>6802.0</v>
      </c>
      <c r="F24" s="10">
        <v>6486.0</v>
      </c>
      <c r="G24" s="10">
        <v>6150.0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18" t="s">
        <v>71</v>
      </c>
      <c r="B25" s="10">
        <v>3990.0</v>
      </c>
      <c r="C25" s="10">
        <v>3877.0</v>
      </c>
      <c r="D25" s="10">
        <v>6352.0</v>
      </c>
      <c r="E25" s="10">
        <v>6802.0</v>
      </c>
      <c r="F25" s="10">
        <v>6486.0</v>
      </c>
      <c r="G25" s="10">
        <v>6150.0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18" t="s">
        <v>73</v>
      </c>
      <c r="B26" s="10">
        <v>3872.0</v>
      </c>
      <c r="C26" s="10">
        <v>3994.0</v>
      </c>
      <c r="D26" s="10">
        <v>6165.0</v>
      </c>
      <c r="E26" s="10">
        <v>6602.0</v>
      </c>
      <c r="F26" s="10">
        <v>6296.0</v>
      </c>
      <c r="G26" s="10">
        <v>5969.0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hidden="1" min="2" max="2" width="12.63"/>
    <col hidden="1" min="5" max="5" width="12.63"/>
    <col hidden="1" min="8" max="8" width="12.63"/>
    <col hidden="1" min="11" max="11" width="12.63"/>
    <col hidden="1" min="14" max="14" width="12.63"/>
    <col hidden="1" min="17" max="17" width="12.63"/>
  </cols>
  <sheetData>
    <row r="1">
      <c r="A1" s="4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11"/>
      <c r="U1" s="11"/>
      <c r="V1" s="12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>
      <c r="A2" s="17"/>
      <c r="B2" s="7" t="s">
        <v>9</v>
      </c>
      <c r="C2" s="7" t="s">
        <v>9</v>
      </c>
      <c r="D2" s="7" t="s">
        <v>17</v>
      </c>
      <c r="E2" s="7" t="s">
        <v>10</v>
      </c>
      <c r="F2" s="7" t="s">
        <v>10</v>
      </c>
      <c r="G2" s="7" t="s">
        <v>17</v>
      </c>
      <c r="H2" s="7" t="s">
        <v>11</v>
      </c>
      <c r="I2" s="7" t="s">
        <v>11</v>
      </c>
      <c r="J2" s="7" t="s">
        <v>17</v>
      </c>
      <c r="K2" s="7" t="s">
        <v>12</v>
      </c>
      <c r="L2" s="7" t="s">
        <v>12</v>
      </c>
      <c r="M2" s="7" t="s">
        <v>17</v>
      </c>
      <c r="N2" s="7" t="s">
        <v>13</v>
      </c>
      <c r="O2" s="7" t="s">
        <v>13</v>
      </c>
      <c r="P2" s="7" t="s">
        <v>17</v>
      </c>
      <c r="Q2" s="7" t="s">
        <v>14</v>
      </c>
      <c r="R2" s="7" t="s">
        <v>14</v>
      </c>
      <c r="S2" s="7" t="s">
        <v>17</v>
      </c>
      <c r="T2" s="11"/>
      <c r="U2" s="11"/>
      <c r="V2" s="12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>
      <c r="A3" s="11"/>
      <c r="B3" s="7" t="s">
        <v>15</v>
      </c>
      <c r="C3" s="7" t="s">
        <v>15</v>
      </c>
      <c r="D3" s="7" t="s">
        <v>24</v>
      </c>
      <c r="E3" s="7" t="s">
        <v>15</v>
      </c>
      <c r="F3" s="7" t="s">
        <v>15</v>
      </c>
      <c r="G3" s="7" t="s">
        <v>24</v>
      </c>
      <c r="H3" s="7" t="s">
        <v>15</v>
      </c>
      <c r="I3" s="7" t="s">
        <v>15</v>
      </c>
      <c r="J3" s="7" t="s">
        <v>24</v>
      </c>
      <c r="K3" s="7" t="s">
        <v>15</v>
      </c>
      <c r="L3" s="7" t="s">
        <v>15</v>
      </c>
      <c r="M3" s="7" t="s">
        <v>24</v>
      </c>
      <c r="N3" s="7" t="s">
        <v>15</v>
      </c>
      <c r="O3" s="7" t="s">
        <v>15</v>
      </c>
      <c r="P3" s="7" t="s">
        <v>24</v>
      </c>
      <c r="Q3" s="7" t="s">
        <v>15</v>
      </c>
      <c r="R3" s="7" t="s">
        <v>15</v>
      </c>
      <c r="S3" s="7" t="s">
        <v>24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>
      <c r="A4" s="17" t="s">
        <v>18</v>
      </c>
      <c r="B4" s="23">
        <v>5680.0</v>
      </c>
      <c r="C4" s="23">
        <f t="shared" ref="C4:C49" si="1">$B$62*(B4/$B$51)</f>
        <v>7194.042834</v>
      </c>
      <c r="D4" s="24">
        <v>88.0</v>
      </c>
      <c r="E4" s="23">
        <v>6549.0</v>
      </c>
      <c r="F4" s="23">
        <f t="shared" ref="F4:F49" si="2">$E$62*(E4/$E$51)</f>
        <v>7510.244019</v>
      </c>
      <c r="G4" s="24">
        <v>82.0</v>
      </c>
      <c r="H4" s="23">
        <v>8795.0</v>
      </c>
      <c r="I4" s="23">
        <f t="shared" ref="I4:I49" si="3">$H$62*(H4/$H$51)</f>
        <v>15774.37785</v>
      </c>
      <c r="J4" s="24">
        <v>88.0</v>
      </c>
      <c r="K4" s="23">
        <v>12118.0</v>
      </c>
      <c r="L4" s="23">
        <f t="shared" ref="L4:L49" si="4">$K$62*(K4/$K$51)</f>
        <v>19052.6715</v>
      </c>
      <c r="M4" s="24">
        <v>75.0</v>
      </c>
      <c r="N4" s="23">
        <v>9841.0</v>
      </c>
      <c r="O4" s="23">
        <f t="shared" ref="O4:O49" si="5">$N$62*(N4/$N$51)</f>
        <v>15994.79699</v>
      </c>
      <c r="P4" s="24">
        <v>82.0</v>
      </c>
      <c r="Q4" s="23">
        <v>10640.0</v>
      </c>
      <c r="R4" s="23">
        <f t="shared" ref="R4:R49" si="6">$Q$62*(Q4/$Q$51)</f>
        <v>20829.32539</v>
      </c>
      <c r="S4" s="24">
        <v>79.0</v>
      </c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ht="24.0" customHeight="1">
      <c r="A5" s="17" t="s">
        <v>21</v>
      </c>
      <c r="B5" s="23">
        <v>4120.0</v>
      </c>
      <c r="C5" s="23">
        <f t="shared" si="1"/>
        <v>5218.214168</v>
      </c>
      <c r="D5" s="24">
        <v>79.0</v>
      </c>
      <c r="E5" s="23">
        <v>4306.0</v>
      </c>
      <c r="F5" s="23">
        <f t="shared" si="2"/>
        <v>4938.022713</v>
      </c>
      <c r="G5" s="24">
        <v>86.0</v>
      </c>
      <c r="H5" s="23">
        <v>5609.0</v>
      </c>
      <c r="I5" s="23">
        <f t="shared" si="3"/>
        <v>10060.0893</v>
      </c>
      <c r="J5" s="24">
        <v>89.0</v>
      </c>
      <c r="K5" s="23">
        <v>6997.0</v>
      </c>
      <c r="L5" s="23">
        <f t="shared" si="4"/>
        <v>11001.11755</v>
      </c>
      <c r="M5" s="24">
        <v>89.0</v>
      </c>
      <c r="N5" s="23">
        <v>6540.0</v>
      </c>
      <c r="O5" s="23">
        <f t="shared" si="5"/>
        <v>10629.608</v>
      </c>
      <c r="P5" s="24">
        <v>85.0</v>
      </c>
      <c r="Q5" s="23">
        <v>7559.0</v>
      </c>
      <c r="R5" s="23">
        <f t="shared" si="6"/>
        <v>14797.82618</v>
      </c>
      <c r="S5" s="24">
        <v>70.0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>
      <c r="A6" s="17" t="s">
        <v>25</v>
      </c>
      <c r="B6" s="23">
        <v>3811.0</v>
      </c>
      <c r="C6" s="23">
        <f t="shared" si="1"/>
        <v>4826.848105</v>
      </c>
      <c r="D6" s="24">
        <v>69.0</v>
      </c>
      <c r="E6" s="23">
        <v>4776.0</v>
      </c>
      <c r="F6" s="23">
        <f t="shared" si="2"/>
        <v>5477.008006</v>
      </c>
      <c r="G6" s="24">
        <v>73.0</v>
      </c>
      <c r="H6" s="23">
        <v>7394.0</v>
      </c>
      <c r="I6" s="23">
        <f t="shared" si="3"/>
        <v>13261.59748</v>
      </c>
      <c r="J6" s="24">
        <v>66.0</v>
      </c>
      <c r="K6" s="23">
        <v>11258.0</v>
      </c>
      <c r="L6" s="23">
        <f t="shared" si="4"/>
        <v>17700.52614</v>
      </c>
      <c r="M6" s="24">
        <v>71.0</v>
      </c>
      <c r="N6" s="23">
        <v>10044.0</v>
      </c>
      <c r="O6" s="23">
        <f t="shared" si="5"/>
        <v>16324.73742</v>
      </c>
      <c r="P6" s="24">
        <v>75.0</v>
      </c>
      <c r="Q6" s="23">
        <v>11650.0</v>
      </c>
      <c r="R6" s="23">
        <f t="shared" si="6"/>
        <v>22806.54518</v>
      </c>
      <c r="S6" s="24">
        <v>76.0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>
      <c r="A7" s="17" t="s">
        <v>27</v>
      </c>
      <c r="B7" s="23">
        <v>2490.0</v>
      </c>
      <c r="C7" s="23">
        <f t="shared" si="1"/>
        <v>3153.726524</v>
      </c>
      <c r="D7" s="24">
        <v>78.0</v>
      </c>
      <c r="E7" s="23">
        <v>2549.0</v>
      </c>
      <c r="F7" s="23">
        <f t="shared" si="2"/>
        <v>2923.135136</v>
      </c>
      <c r="G7" s="24">
        <v>80.0</v>
      </c>
      <c r="H7" s="23">
        <v>3522.0</v>
      </c>
      <c r="I7" s="23">
        <f t="shared" si="3"/>
        <v>6316.925389</v>
      </c>
      <c r="J7" s="24">
        <v>79.0</v>
      </c>
      <c r="K7" s="23">
        <v>5340.0</v>
      </c>
      <c r="L7" s="23">
        <f t="shared" si="4"/>
        <v>8395.879337</v>
      </c>
      <c r="M7" s="24">
        <v>68.0</v>
      </c>
      <c r="N7" s="23">
        <v>5145.0</v>
      </c>
      <c r="O7" s="23">
        <f t="shared" si="5"/>
        <v>8362.283355</v>
      </c>
      <c r="P7" s="24">
        <v>80.0</v>
      </c>
      <c r="Q7" s="23">
        <v>6112.0</v>
      </c>
      <c r="R7" s="23">
        <f t="shared" si="6"/>
        <v>11965.11624</v>
      </c>
      <c r="S7" s="24">
        <v>79.0</v>
      </c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>
      <c r="A8" s="17" t="s">
        <v>30</v>
      </c>
      <c r="B8" s="23">
        <v>2182.0</v>
      </c>
      <c r="C8" s="23">
        <f t="shared" si="1"/>
        <v>2763.627018</v>
      </c>
      <c r="D8" s="24">
        <v>72.0</v>
      </c>
      <c r="E8" s="23">
        <v>2265.0</v>
      </c>
      <c r="F8" s="23">
        <f t="shared" si="2"/>
        <v>2597.450405</v>
      </c>
      <c r="G8" s="24">
        <v>68.0</v>
      </c>
      <c r="H8" s="23">
        <v>3290.0</v>
      </c>
      <c r="I8" s="23">
        <f t="shared" si="3"/>
        <v>5900.819004</v>
      </c>
      <c r="J8" s="24">
        <v>69.0</v>
      </c>
      <c r="K8" s="23">
        <v>4795.0</v>
      </c>
      <c r="L8" s="23">
        <f t="shared" si="4"/>
        <v>7538.99652</v>
      </c>
      <c r="M8" s="24">
        <v>75.0</v>
      </c>
      <c r="N8" s="23">
        <v>4184.0</v>
      </c>
      <c r="O8" s="23">
        <f t="shared" si="5"/>
        <v>6800.348602</v>
      </c>
      <c r="P8" s="24">
        <v>88.0</v>
      </c>
      <c r="Q8" s="23">
        <v>5038.0</v>
      </c>
      <c r="R8" s="23">
        <f t="shared" si="6"/>
        <v>9862.607264</v>
      </c>
      <c r="S8" s="24">
        <v>92.0</v>
      </c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>
      <c r="A9" s="17" t="s">
        <v>32</v>
      </c>
      <c r="B9" s="23">
        <v>2148.0</v>
      </c>
      <c r="C9" s="23">
        <f t="shared" si="1"/>
        <v>2720.564086</v>
      </c>
      <c r="D9" s="24">
        <v>71.0</v>
      </c>
      <c r="E9" s="23">
        <v>2592.0</v>
      </c>
      <c r="F9" s="23">
        <f t="shared" si="2"/>
        <v>2972.446556</v>
      </c>
      <c r="G9" s="24">
        <v>66.0</v>
      </c>
      <c r="H9" s="23">
        <v>2808.0</v>
      </c>
      <c r="I9" s="23">
        <f t="shared" si="3"/>
        <v>5036.322116</v>
      </c>
      <c r="J9" s="24">
        <v>91.0</v>
      </c>
      <c r="K9" s="23">
        <v>3551.0</v>
      </c>
      <c r="L9" s="23">
        <f t="shared" si="4"/>
        <v>5583.102533</v>
      </c>
      <c r="M9" s="24">
        <v>82.0</v>
      </c>
      <c r="N9" s="23">
        <v>3337.0</v>
      </c>
      <c r="O9" s="23">
        <f t="shared" si="5"/>
        <v>5423.700594</v>
      </c>
      <c r="P9" s="24">
        <v>82.0</v>
      </c>
      <c r="Q9" s="23">
        <v>3367.0</v>
      </c>
      <c r="R9" s="23">
        <f t="shared" si="6"/>
        <v>6591.385204</v>
      </c>
      <c r="S9" s="24">
        <v>92.0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>
      <c r="A10" s="17" t="s">
        <v>22</v>
      </c>
      <c r="B10" s="23">
        <v>2028.0</v>
      </c>
      <c r="C10" s="23">
        <f t="shared" si="1"/>
        <v>2568.577265</v>
      </c>
      <c r="D10" s="24">
        <v>71.0</v>
      </c>
      <c r="E10" s="23">
        <v>2196.0</v>
      </c>
      <c r="F10" s="23">
        <f t="shared" si="2"/>
        <v>2518.322777</v>
      </c>
      <c r="G10" s="24">
        <v>88.0</v>
      </c>
      <c r="H10" s="23">
        <v>2495.0</v>
      </c>
      <c r="I10" s="23">
        <f t="shared" si="3"/>
        <v>4474.937208</v>
      </c>
      <c r="J10" s="24">
        <v>72.0</v>
      </c>
      <c r="K10" s="23">
        <v>3062.0</v>
      </c>
      <c r="L10" s="23">
        <f t="shared" si="4"/>
        <v>4814.266391</v>
      </c>
      <c r="M10" s="24">
        <v>71.0</v>
      </c>
      <c r="N10" s="23">
        <v>2875.0</v>
      </c>
      <c r="O10" s="23">
        <f t="shared" si="5"/>
        <v>4672.80168</v>
      </c>
      <c r="P10" s="24">
        <v>83.0</v>
      </c>
      <c r="Q10" s="23">
        <v>3455.0</v>
      </c>
      <c r="R10" s="23">
        <f t="shared" si="6"/>
        <v>6763.65782</v>
      </c>
      <c r="S10" s="24">
        <v>75.0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>
      <c r="A11" s="17" t="s">
        <v>36</v>
      </c>
      <c r="B11" s="23">
        <v>1897.0</v>
      </c>
      <c r="C11" s="23">
        <f t="shared" si="1"/>
        <v>2402.65832</v>
      </c>
      <c r="D11" s="24">
        <v>91.0</v>
      </c>
      <c r="E11" s="23">
        <v>2068.0</v>
      </c>
      <c r="F11" s="23">
        <f t="shared" si="2"/>
        <v>2371.535293</v>
      </c>
      <c r="G11" s="24">
        <v>89.0</v>
      </c>
      <c r="H11" s="23">
        <v>2148.0</v>
      </c>
      <c r="I11" s="23">
        <f t="shared" si="3"/>
        <v>3852.571191</v>
      </c>
      <c r="J11" s="24">
        <v>93.0</v>
      </c>
      <c r="K11" s="23">
        <v>3389.0</v>
      </c>
      <c r="L11" s="23">
        <f t="shared" si="4"/>
        <v>5328.396081</v>
      </c>
      <c r="M11" s="24">
        <v>65.0</v>
      </c>
      <c r="N11" s="23">
        <v>3289.0</v>
      </c>
      <c r="O11" s="23">
        <f t="shared" si="5"/>
        <v>5345.685122</v>
      </c>
      <c r="P11" s="24">
        <v>67.0</v>
      </c>
      <c r="Q11" s="23">
        <v>5173.0</v>
      </c>
      <c r="R11" s="23">
        <f t="shared" si="6"/>
        <v>10126.88912</v>
      </c>
      <c r="S11" s="24">
        <v>65.0</v>
      </c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>
      <c r="A12" s="17" t="s">
        <v>33</v>
      </c>
      <c r="B12" s="23">
        <v>1627.0</v>
      </c>
      <c r="C12" s="23">
        <f t="shared" si="1"/>
        <v>2060.687974</v>
      </c>
      <c r="D12" s="24">
        <v>71.0</v>
      </c>
      <c r="E12" s="23">
        <v>1760.0</v>
      </c>
      <c r="F12" s="23">
        <f t="shared" si="2"/>
        <v>2018.327909</v>
      </c>
      <c r="G12" s="24">
        <v>87.0</v>
      </c>
      <c r="H12" s="23">
        <v>2329.0</v>
      </c>
      <c r="I12" s="23">
        <f t="shared" si="3"/>
        <v>4177.205915</v>
      </c>
      <c r="J12" s="24">
        <v>83.0</v>
      </c>
      <c r="K12" s="23">
        <v>2403.0</v>
      </c>
      <c r="L12" s="23">
        <f t="shared" si="4"/>
        <v>3778.145701</v>
      </c>
      <c r="M12" s="24">
        <v>75.0</v>
      </c>
      <c r="N12" s="23">
        <v>2258.0</v>
      </c>
      <c r="O12" s="23">
        <f t="shared" si="5"/>
        <v>3669.977807</v>
      </c>
      <c r="P12" s="24">
        <v>88.0</v>
      </c>
      <c r="Q12" s="23">
        <v>2061.0</v>
      </c>
      <c r="R12" s="23">
        <f t="shared" si="6"/>
        <v>4034.702972</v>
      </c>
      <c r="S12" s="24">
        <v>69.0</v>
      </c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>
      <c r="A13" s="17" t="s">
        <v>39</v>
      </c>
      <c r="B13" s="23">
        <v>1388.0</v>
      </c>
      <c r="C13" s="23">
        <f t="shared" si="1"/>
        <v>1757.98089</v>
      </c>
      <c r="D13" s="24">
        <v>88.0</v>
      </c>
      <c r="E13" s="23">
        <v>1182.0</v>
      </c>
      <c r="F13" s="23">
        <f t="shared" si="2"/>
        <v>1355.490675</v>
      </c>
      <c r="G13" s="24">
        <v>70.0</v>
      </c>
      <c r="H13" s="23">
        <v>1515.0</v>
      </c>
      <c r="I13" s="23">
        <f t="shared" si="3"/>
        <v>2717.246441</v>
      </c>
      <c r="J13" s="24">
        <v>77.0</v>
      </c>
      <c r="K13" s="23">
        <v>2185.0</v>
      </c>
      <c r="L13" s="23">
        <f t="shared" si="4"/>
        <v>3435.392575</v>
      </c>
      <c r="M13" s="24">
        <v>67.0</v>
      </c>
      <c r="N13" s="23">
        <v>1734.0</v>
      </c>
      <c r="O13" s="23">
        <f t="shared" si="5"/>
        <v>2818.308909</v>
      </c>
      <c r="P13" s="24">
        <v>87.0</v>
      </c>
      <c r="Q13" s="23">
        <v>1751.0</v>
      </c>
      <c r="R13" s="23">
        <f t="shared" si="6"/>
        <v>3427.833529</v>
      </c>
      <c r="S13" s="24">
        <v>92.0</v>
      </c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>
      <c r="A14" s="17" t="s">
        <v>41</v>
      </c>
      <c r="B14" s="23">
        <v>1319.0</v>
      </c>
      <c r="C14" s="23">
        <f t="shared" si="1"/>
        <v>1670.588468</v>
      </c>
      <c r="D14" s="24">
        <v>67.0</v>
      </c>
      <c r="E14" s="23">
        <v>1353.0</v>
      </c>
      <c r="F14" s="23">
        <f t="shared" si="2"/>
        <v>1551.58958</v>
      </c>
      <c r="G14" s="24">
        <v>68.0</v>
      </c>
      <c r="H14" s="23">
        <v>1544.0</v>
      </c>
      <c r="I14" s="23">
        <f t="shared" si="3"/>
        <v>2769.259739</v>
      </c>
      <c r="J14" s="24">
        <v>80.0</v>
      </c>
      <c r="K14" s="23">
        <v>1764.0</v>
      </c>
      <c r="L14" s="23">
        <f t="shared" si="4"/>
        <v>2773.470253</v>
      </c>
      <c r="M14" s="24">
        <v>68.0</v>
      </c>
      <c r="N14" s="23">
        <v>1757.0</v>
      </c>
      <c r="O14" s="23">
        <f t="shared" si="5"/>
        <v>2855.691323</v>
      </c>
      <c r="P14" s="24">
        <v>68.0</v>
      </c>
      <c r="Q14" s="23">
        <v>2340.0</v>
      </c>
      <c r="R14" s="23">
        <f t="shared" si="6"/>
        <v>4580.88547</v>
      </c>
      <c r="S14" s="24">
        <v>75.0</v>
      </c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>
      <c r="A15" s="17" t="s">
        <v>29</v>
      </c>
      <c r="B15" s="23">
        <v>1239.0</v>
      </c>
      <c r="C15" s="23">
        <f t="shared" si="1"/>
        <v>1569.263921</v>
      </c>
      <c r="D15" s="24">
        <v>79.0</v>
      </c>
      <c r="E15" s="23">
        <v>1312.0</v>
      </c>
      <c r="F15" s="23">
        <f t="shared" si="2"/>
        <v>1504.571714</v>
      </c>
      <c r="G15" s="24">
        <v>76.0</v>
      </c>
      <c r="H15" s="23">
        <v>1772.0</v>
      </c>
      <c r="I15" s="23">
        <f t="shared" si="3"/>
        <v>3178.191877</v>
      </c>
      <c r="J15" s="24">
        <v>72.0</v>
      </c>
      <c r="K15" s="23">
        <v>1901.0</v>
      </c>
      <c r="L15" s="23">
        <f t="shared" si="4"/>
        <v>2988.870153</v>
      </c>
      <c r="M15" s="24">
        <v>93.0</v>
      </c>
      <c r="N15" s="23">
        <v>1670.0</v>
      </c>
      <c r="O15" s="23">
        <f t="shared" si="5"/>
        <v>2714.28828</v>
      </c>
      <c r="P15" s="24">
        <v>69.0</v>
      </c>
      <c r="Q15" s="23">
        <v>1848.0</v>
      </c>
      <c r="R15" s="23">
        <f t="shared" si="6"/>
        <v>3617.724935</v>
      </c>
      <c r="S15" s="24">
        <v>73.0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>
      <c r="A16" s="17" t="s">
        <v>45</v>
      </c>
      <c r="B16" s="23">
        <v>1138.0</v>
      </c>
      <c r="C16" s="23">
        <f t="shared" si="1"/>
        <v>1441.34168</v>
      </c>
      <c r="D16" s="24">
        <v>92.0</v>
      </c>
      <c r="E16" s="23">
        <v>1241.0</v>
      </c>
      <c r="F16" s="23">
        <f t="shared" si="2"/>
        <v>1423.150531</v>
      </c>
      <c r="G16" s="24">
        <v>87.0</v>
      </c>
      <c r="H16" s="23">
        <v>1934.0</v>
      </c>
      <c r="I16" s="23">
        <f t="shared" si="3"/>
        <v>3468.748922</v>
      </c>
      <c r="J16" s="24">
        <v>81.0</v>
      </c>
      <c r="K16" s="23">
        <v>2643.0</v>
      </c>
      <c r="L16" s="23">
        <f t="shared" si="4"/>
        <v>4155.488593</v>
      </c>
      <c r="M16" s="24">
        <v>70.0</v>
      </c>
      <c r="N16" s="23">
        <v>2267.0</v>
      </c>
      <c r="O16" s="23">
        <f t="shared" si="5"/>
        <v>3684.605708</v>
      </c>
      <c r="P16" s="24">
        <v>71.0</v>
      </c>
      <c r="Q16" s="23">
        <v>2797.0</v>
      </c>
      <c r="R16" s="23">
        <f t="shared" si="6"/>
        <v>5475.528487</v>
      </c>
      <c r="S16" s="24">
        <v>69.0</v>
      </c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>
      <c r="A17" s="17" t="s">
        <v>46</v>
      </c>
      <c r="B17" s="23">
        <v>1048.0</v>
      </c>
      <c r="C17" s="23">
        <f t="shared" si="1"/>
        <v>1327.351565</v>
      </c>
      <c r="D17" s="24">
        <v>85.0</v>
      </c>
      <c r="E17" s="23">
        <v>1082.0</v>
      </c>
      <c r="F17" s="23">
        <f t="shared" si="2"/>
        <v>1240.812953</v>
      </c>
      <c r="G17" s="24">
        <v>91.0</v>
      </c>
      <c r="H17" s="23">
        <v>1330.0</v>
      </c>
      <c r="I17" s="23">
        <f t="shared" si="3"/>
        <v>2385.43747</v>
      </c>
      <c r="J17" s="24">
        <v>65.0</v>
      </c>
      <c r="K17" s="23">
        <v>1670.0</v>
      </c>
      <c r="L17" s="23">
        <f t="shared" si="4"/>
        <v>2625.67762</v>
      </c>
      <c r="M17" s="24">
        <v>90.0</v>
      </c>
      <c r="N17" s="23">
        <v>1445.0</v>
      </c>
      <c r="O17" s="23">
        <f t="shared" si="5"/>
        <v>2348.590758</v>
      </c>
      <c r="P17" s="24">
        <v>95.0</v>
      </c>
      <c r="Q17" s="23">
        <v>2026.0</v>
      </c>
      <c r="R17" s="23">
        <f t="shared" si="6"/>
        <v>3966.185454</v>
      </c>
      <c r="S17" s="24">
        <v>80.0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>
      <c r="A18" s="17" t="s">
        <v>40</v>
      </c>
      <c r="B18" s="23">
        <v>1038.0</v>
      </c>
      <c r="C18" s="23">
        <f t="shared" si="1"/>
        <v>1314.685997</v>
      </c>
      <c r="D18" s="24">
        <v>86.0</v>
      </c>
      <c r="E18" s="23">
        <v>921.0</v>
      </c>
      <c r="F18" s="23">
        <f t="shared" si="2"/>
        <v>1056.18182</v>
      </c>
      <c r="G18" s="24">
        <v>93.0</v>
      </c>
      <c r="H18" s="23">
        <v>1174.0</v>
      </c>
      <c r="I18" s="23">
        <f t="shared" si="3"/>
        <v>2105.641796</v>
      </c>
      <c r="J18" s="24">
        <v>72.0</v>
      </c>
      <c r="K18" s="23">
        <v>1807.0</v>
      </c>
      <c r="L18" s="23">
        <f t="shared" si="4"/>
        <v>2841.077521</v>
      </c>
      <c r="M18" s="24">
        <v>67.0</v>
      </c>
      <c r="N18" s="23">
        <v>1511.0</v>
      </c>
      <c r="O18" s="23">
        <f t="shared" si="5"/>
        <v>2455.862031</v>
      </c>
      <c r="P18" s="24">
        <v>70.0</v>
      </c>
      <c r="Q18" s="23">
        <v>2177.0</v>
      </c>
      <c r="R18" s="23">
        <f t="shared" si="6"/>
        <v>4261.789602</v>
      </c>
      <c r="S18" s="24">
        <v>92.0</v>
      </c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>
      <c r="A19" s="17" t="s">
        <v>51</v>
      </c>
      <c r="B19" s="23">
        <v>947.0</v>
      </c>
      <c r="C19" s="23">
        <f t="shared" si="1"/>
        <v>1199.429325</v>
      </c>
      <c r="D19" s="24">
        <v>81.0</v>
      </c>
      <c r="E19" s="23">
        <v>811.0</v>
      </c>
      <c r="F19" s="23">
        <f t="shared" si="2"/>
        <v>930.0363261</v>
      </c>
      <c r="G19" s="24">
        <v>73.0</v>
      </c>
      <c r="H19" s="23">
        <v>1070.0</v>
      </c>
      <c r="I19" s="23">
        <f t="shared" si="3"/>
        <v>1919.111348</v>
      </c>
      <c r="J19" s="24">
        <v>81.0</v>
      </c>
      <c r="K19" s="23">
        <v>1725.0</v>
      </c>
      <c r="L19" s="23">
        <f t="shared" si="4"/>
        <v>2712.152033</v>
      </c>
      <c r="M19" s="24">
        <v>73.0</v>
      </c>
      <c r="N19" s="23">
        <v>1487.0</v>
      </c>
      <c r="O19" s="23">
        <f t="shared" si="5"/>
        <v>2416.854295</v>
      </c>
      <c r="P19" s="24">
        <v>90.0</v>
      </c>
      <c r="Q19" s="23">
        <v>1755.0</v>
      </c>
      <c r="R19" s="23">
        <f t="shared" si="6"/>
        <v>3435.664103</v>
      </c>
      <c r="S19" s="24">
        <v>93.0</v>
      </c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>
      <c r="A20" s="17" t="s">
        <v>50</v>
      </c>
      <c r="B20" s="23">
        <v>780.0</v>
      </c>
      <c r="C20" s="23">
        <f t="shared" si="1"/>
        <v>987.9143328</v>
      </c>
      <c r="D20" s="24">
        <v>78.0</v>
      </c>
      <c r="E20" s="23">
        <v>651.0</v>
      </c>
      <c r="F20" s="23">
        <f t="shared" si="2"/>
        <v>746.5519707</v>
      </c>
      <c r="G20" s="24">
        <v>76.0</v>
      </c>
      <c r="H20" s="23">
        <v>903.0</v>
      </c>
      <c r="I20" s="23">
        <f t="shared" si="3"/>
        <v>1619.586492</v>
      </c>
      <c r="J20" s="24">
        <v>70.0</v>
      </c>
      <c r="K20" s="23">
        <v>1319.0</v>
      </c>
      <c r="L20" s="23">
        <f t="shared" si="4"/>
        <v>2073.813641</v>
      </c>
      <c r="M20" s="24">
        <v>66.0</v>
      </c>
      <c r="N20" s="23">
        <v>1457.0</v>
      </c>
      <c r="O20" s="23">
        <f t="shared" si="5"/>
        <v>2368.094626</v>
      </c>
      <c r="P20" s="24">
        <v>76.0</v>
      </c>
      <c r="Q20" s="23">
        <v>1603.0</v>
      </c>
      <c r="R20" s="23">
        <f t="shared" si="6"/>
        <v>3138.102311</v>
      </c>
      <c r="S20" s="24">
        <v>89.0</v>
      </c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>
      <c r="A21" s="17" t="s">
        <v>55</v>
      </c>
      <c r="B21" s="23">
        <v>753.0</v>
      </c>
      <c r="C21" s="23">
        <f t="shared" si="1"/>
        <v>953.7172982</v>
      </c>
      <c r="D21" s="24">
        <v>91.0</v>
      </c>
      <c r="E21" s="23">
        <v>788.0</v>
      </c>
      <c r="F21" s="23">
        <f t="shared" si="2"/>
        <v>903.66045</v>
      </c>
      <c r="G21" s="24">
        <v>72.0</v>
      </c>
      <c r="H21" s="23">
        <v>1198.0</v>
      </c>
      <c r="I21" s="23">
        <f t="shared" si="3"/>
        <v>2148.687285</v>
      </c>
      <c r="J21" s="24">
        <v>94.0</v>
      </c>
      <c r="K21" s="23">
        <v>1744.0</v>
      </c>
      <c r="L21" s="23">
        <f t="shared" si="4"/>
        <v>2742.025012</v>
      </c>
      <c r="M21" s="24">
        <v>83.0</v>
      </c>
      <c r="N21" s="23">
        <v>1736.0</v>
      </c>
      <c r="O21" s="23">
        <f t="shared" si="5"/>
        <v>2821.559554</v>
      </c>
      <c r="P21" s="24">
        <v>87.0</v>
      </c>
      <c r="Q21" s="23">
        <v>2079.0</v>
      </c>
      <c r="R21" s="23">
        <f t="shared" si="6"/>
        <v>4069.940552</v>
      </c>
      <c r="S21" s="24">
        <v>89.0</v>
      </c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>
      <c r="A22" s="17" t="s">
        <v>58</v>
      </c>
      <c r="B22" s="23">
        <v>732.0</v>
      </c>
      <c r="C22" s="23">
        <f t="shared" si="1"/>
        <v>927.1196046</v>
      </c>
      <c r="D22" s="24">
        <v>66.0</v>
      </c>
      <c r="E22" s="23">
        <v>580.0</v>
      </c>
      <c r="F22" s="23">
        <f t="shared" si="2"/>
        <v>665.1307881</v>
      </c>
      <c r="G22" s="24">
        <v>84.0</v>
      </c>
      <c r="H22" s="23">
        <v>658.0</v>
      </c>
      <c r="I22" s="23">
        <f t="shared" si="3"/>
        <v>1180.163801</v>
      </c>
      <c r="J22" s="24">
        <v>69.0</v>
      </c>
      <c r="K22" s="23">
        <v>997.0</v>
      </c>
      <c r="L22" s="23">
        <f t="shared" si="4"/>
        <v>1567.545262</v>
      </c>
      <c r="M22" s="24">
        <v>77.0</v>
      </c>
      <c r="N22" s="23">
        <v>1053.0</v>
      </c>
      <c r="O22" s="23">
        <f t="shared" si="5"/>
        <v>1711.464407</v>
      </c>
      <c r="P22" s="24">
        <v>78.0</v>
      </c>
      <c r="Q22" s="23">
        <v>1356.0</v>
      </c>
      <c r="R22" s="23">
        <f t="shared" si="6"/>
        <v>2654.564401</v>
      </c>
      <c r="S22" s="24">
        <v>65.0</v>
      </c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>
      <c r="A23" s="11"/>
      <c r="B23" s="23">
        <v>581.0</v>
      </c>
      <c r="C23" s="23">
        <f t="shared" si="1"/>
        <v>735.8695222</v>
      </c>
      <c r="D23" s="24">
        <v>81.0</v>
      </c>
      <c r="E23" s="23">
        <v>234.0</v>
      </c>
      <c r="F23" s="23">
        <f t="shared" si="2"/>
        <v>268.3458697</v>
      </c>
      <c r="G23" s="24">
        <v>75.0</v>
      </c>
      <c r="H23" s="23">
        <v>328.0</v>
      </c>
      <c r="I23" s="23">
        <f t="shared" si="3"/>
        <v>588.2883384</v>
      </c>
      <c r="J23" s="24">
        <v>82.0</v>
      </c>
      <c r="K23" s="23">
        <v>541.0</v>
      </c>
      <c r="L23" s="23">
        <f t="shared" si="4"/>
        <v>850.593768</v>
      </c>
      <c r="M23" s="24">
        <v>77.0</v>
      </c>
      <c r="N23" s="23">
        <v>402.0</v>
      </c>
      <c r="O23" s="23">
        <f t="shared" si="5"/>
        <v>653.3795741</v>
      </c>
      <c r="P23" s="24">
        <v>66.0</v>
      </c>
      <c r="Q23" s="23">
        <v>323.0</v>
      </c>
      <c r="R23" s="23">
        <f t="shared" si="6"/>
        <v>632.3188063</v>
      </c>
      <c r="S23" s="24">
        <v>94.0</v>
      </c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>
      <c r="A24" s="17" t="s">
        <v>48</v>
      </c>
      <c r="B24" s="23">
        <v>426.0</v>
      </c>
      <c r="C24" s="23">
        <f t="shared" si="1"/>
        <v>539.5532125</v>
      </c>
      <c r="D24" s="24">
        <v>71.0</v>
      </c>
      <c r="E24" s="23">
        <v>541.0</v>
      </c>
      <c r="F24" s="23">
        <f t="shared" si="2"/>
        <v>620.4064764</v>
      </c>
      <c r="G24" s="24">
        <v>78.0</v>
      </c>
      <c r="H24" s="23">
        <v>523.0</v>
      </c>
      <c r="I24" s="23">
        <f t="shared" si="3"/>
        <v>938.0329298</v>
      </c>
      <c r="J24" s="24">
        <v>65.0</v>
      </c>
      <c r="K24" s="23">
        <v>840.0</v>
      </c>
      <c r="L24" s="23">
        <f t="shared" si="4"/>
        <v>1320.70012</v>
      </c>
      <c r="M24" s="24">
        <v>71.0</v>
      </c>
      <c r="N24" s="23">
        <v>825.0</v>
      </c>
      <c r="O24" s="23">
        <f t="shared" si="5"/>
        <v>1340.890917</v>
      </c>
      <c r="P24" s="24">
        <v>82.0</v>
      </c>
      <c r="Q24" s="23">
        <v>926.0</v>
      </c>
      <c r="R24" s="23">
        <f t="shared" si="6"/>
        <v>1812.777754</v>
      </c>
      <c r="S24" s="24">
        <v>80.0</v>
      </c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>
      <c r="A25" s="17" t="s">
        <v>63</v>
      </c>
      <c r="B25" s="23">
        <v>367.0</v>
      </c>
      <c r="C25" s="23">
        <f t="shared" si="1"/>
        <v>464.8263591</v>
      </c>
      <c r="D25" s="24">
        <v>84.0</v>
      </c>
      <c r="E25" s="23">
        <v>402.0</v>
      </c>
      <c r="F25" s="23">
        <f t="shared" si="2"/>
        <v>461.0044428</v>
      </c>
      <c r="G25" s="24">
        <v>69.0</v>
      </c>
      <c r="H25" s="23">
        <v>501.0</v>
      </c>
      <c r="I25" s="23">
        <f t="shared" si="3"/>
        <v>898.5745656</v>
      </c>
      <c r="J25" s="24">
        <v>75.0</v>
      </c>
      <c r="K25" s="23">
        <v>640.0</v>
      </c>
      <c r="L25" s="23">
        <f t="shared" si="4"/>
        <v>1006.247711</v>
      </c>
      <c r="M25" s="24">
        <v>82.0</v>
      </c>
      <c r="N25" s="23">
        <v>586.0</v>
      </c>
      <c r="O25" s="23">
        <f t="shared" si="5"/>
        <v>952.4388816</v>
      </c>
      <c r="P25" s="24">
        <v>81.0</v>
      </c>
      <c r="Q25" s="23">
        <v>692.0</v>
      </c>
      <c r="R25" s="23">
        <f t="shared" si="6"/>
        <v>1354.689207</v>
      </c>
      <c r="S25" s="24">
        <v>79.0</v>
      </c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>
      <c r="A26" s="17" t="s">
        <v>65</v>
      </c>
      <c r="B26" s="23">
        <v>264.0</v>
      </c>
      <c r="C26" s="23">
        <f t="shared" si="1"/>
        <v>334.3710049</v>
      </c>
      <c r="D26" s="24">
        <v>77.0</v>
      </c>
      <c r="E26" s="23">
        <v>286.0</v>
      </c>
      <c r="F26" s="23">
        <f t="shared" si="2"/>
        <v>327.9782851</v>
      </c>
      <c r="G26" s="24">
        <v>77.0</v>
      </c>
      <c r="H26" s="23">
        <v>488.0</v>
      </c>
      <c r="I26" s="23">
        <f t="shared" si="3"/>
        <v>875.2582595</v>
      </c>
      <c r="J26" s="24">
        <v>92.0</v>
      </c>
      <c r="K26" s="23">
        <v>707.0</v>
      </c>
      <c r="L26" s="23">
        <f t="shared" si="4"/>
        <v>1111.589268</v>
      </c>
      <c r="M26" s="24">
        <v>82.0</v>
      </c>
      <c r="N26" s="23">
        <v>549.0</v>
      </c>
      <c r="O26" s="23">
        <f t="shared" si="5"/>
        <v>892.3019557</v>
      </c>
      <c r="P26" s="24">
        <v>75.0</v>
      </c>
      <c r="Q26" s="23">
        <v>649.0</v>
      </c>
      <c r="R26" s="23">
        <f t="shared" si="6"/>
        <v>1270.510543</v>
      </c>
      <c r="S26" s="24">
        <v>89.0</v>
      </c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>
      <c r="A27" s="17" t="s">
        <v>67</v>
      </c>
      <c r="B27" s="23">
        <v>220.0</v>
      </c>
      <c r="C27" s="23">
        <f t="shared" si="1"/>
        <v>278.6425041</v>
      </c>
      <c r="D27" s="24">
        <v>87.0</v>
      </c>
      <c r="E27" s="23">
        <v>255.0</v>
      </c>
      <c r="F27" s="23">
        <f t="shared" si="2"/>
        <v>292.4281913</v>
      </c>
      <c r="G27" s="24">
        <v>81.0</v>
      </c>
      <c r="H27" s="23">
        <v>330.0</v>
      </c>
      <c r="I27" s="23">
        <f t="shared" si="3"/>
        <v>591.8754624</v>
      </c>
      <c r="J27" s="24">
        <v>78.0</v>
      </c>
      <c r="K27" s="23">
        <v>537.0</v>
      </c>
      <c r="L27" s="23">
        <f t="shared" si="4"/>
        <v>844.3047198</v>
      </c>
      <c r="M27" s="24">
        <v>87.0</v>
      </c>
      <c r="N27" s="23">
        <v>396.0</v>
      </c>
      <c r="O27" s="23">
        <f t="shared" si="5"/>
        <v>643.6276402</v>
      </c>
      <c r="P27" s="24">
        <v>83.0</v>
      </c>
      <c r="Q27" s="23">
        <v>426.0</v>
      </c>
      <c r="R27" s="23">
        <f t="shared" si="6"/>
        <v>833.9560728</v>
      </c>
      <c r="S27" s="24">
        <v>94.0</v>
      </c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>
      <c r="A28" s="17" t="s">
        <v>44</v>
      </c>
      <c r="B28" s="23">
        <v>195.0</v>
      </c>
      <c r="C28" s="23">
        <f t="shared" si="1"/>
        <v>246.9785832</v>
      </c>
      <c r="D28" s="24">
        <v>92.0</v>
      </c>
      <c r="E28" s="23">
        <v>186.0</v>
      </c>
      <c r="F28" s="23">
        <f t="shared" si="2"/>
        <v>213.3005631</v>
      </c>
      <c r="G28" s="24">
        <v>77.0</v>
      </c>
      <c r="H28" s="23">
        <v>252.0</v>
      </c>
      <c r="I28" s="23">
        <f t="shared" si="3"/>
        <v>451.9776258</v>
      </c>
      <c r="J28" s="24">
        <v>76.0</v>
      </c>
      <c r="K28" s="23">
        <v>195.0</v>
      </c>
      <c r="L28" s="23">
        <f t="shared" si="4"/>
        <v>306.5910994</v>
      </c>
      <c r="M28" s="24">
        <v>76.0</v>
      </c>
      <c r="N28" s="23">
        <v>288.0</v>
      </c>
      <c r="O28" s="23">
        <f t="shared" si="5"/>
        <v>468.0928292</v>
      </c>
      <c r="P28" s="24">
        <v>87.0</v>
      </c>
      <c r="Q28" s="23">
        <v>249.0</v>
      </c>
      <c r="R28" s="23">
        <f t="shared" si="6"/>
        <v>487.4531975</v>
      </c>
      <c r="S28" s="24">
        <v>84.0</v>
      </c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>
      <c r="A29" s="17" t="s">
        <v>70</v>
      </c>
      <c r="B29" s="23">
        <v>176.0</v>
      </c>
      <c r="C29" s="23">
        <f t="shared" si="1"/>
        <v>222.9140033</v>
      </c>
      <c r="D29" s="24">
        <v>90.0</v>
      </c>
      <c r="E29" s="23">
        <v>165.0</v>
      </c>
      <c r="F29" s="23">
        <f t="shared" si="2"/>
        <v>189.2182414</v>
      </c>
      <c r="G29" s="24">
        <v>71.0</v>
      </c>
      <c r="H29" s="23">
        <v>181.0</v>
      </c>
      <c r="I29" s="23">
        <f t="shared" si="3"/>
        <v>324.6347233</v>
      </c>
      <c r="J29" s="24">
        <v>75.0</v>
      </c>
      <c r="K29" s="23">
        <v>230.0</v>
      </c>
      <c r="L29" s="23">
        <f t="shared" si="4"/>
        <v>361.620271</v>
      </c>
      <c r="M29" s="24">
        <v>79.0</v>
      </c>
      <c r="N29" s="23">
        <v>221.0</v>
      </c>
      <c r="O29" s="23">
        <f t="shared" si="5"/>
        <v>359.1962335</v>
      </c>
      <c r="P29" s="24">
        <v>77.0</v>
      </c>
      <c r="Q29" s="23">
        <v>195.0</v>
      </c>
      <c r="R29" s="23">
        <f t="shared" si="6"/>
        <v>381.7404558</v>
      </c>
      <c r="S29" s="24">
        <v>87.0</v>
      </c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>
      <c r="A30" s="17" t="s">
        <v>37</v>
      </c>
      <c r="B30" s="23">
        <v>110.0</v>
      </c>
      <c r="C30" s="23">
        <f t="shared" si="1"/>
        <v>139.3212521</v>
      </c>
      <c r="D30" s="24">
        <v>87.0</v>
      </c>
      <c r="E30" s="23">
        <v>281.0</v>
      </c>
      <c r="F30" s="23">
        <f t="shared" si="2"/>
        <v>322.244399</v>
      </c>
      <c r="G30" s="24">
        <v>80.0</v>
      </c>
      <c r="H30" s="23">
        <v>230.0</v>
      </c>
      <c r="I30" s="23">
        <f t="shared" si="3"/>
        <v>412.5192617</v>
      </c>
      <c r="J30" s="24">
        <v>66.0</v>
      </c>
      <c r="K30" s="23">
        <v>768.0</v>
      </c>
      <c r="L30" s="23">
        <f t="shared" si="4"/>
        <v>1207.497253</v>
      </c>
      <c r="M30" s="24">
        <v>72.0</v>
      </c>
      <c r="N30" s="23">
        <v>765.0</v>
      </c>
      <c r="O30" s="23">
        <f t="shared" si="5"/>
        <v>1243.371578</v>
      </c>
      <c r="P30" s="24">
        <v>69.0</v>
      </c>
      <c r="Q30" s="23">
        <v>1008.0</v>
      </c>
      <c r="R30" s="23">
        <f t="shared" si="6"/>
        <v>1973.30451</v>
      </c>
      <c r="S30" s="24">
        <v>89.0</v>
      </c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>
      <c r="A31" s="17" t="s">
        <v>53</v>
      </c>
      <c r="B31" s="23">
        <v>97.0</v>
      </c>
      <c r="C31" s="23">
        <f t="shared" si="1"/>
        <v>122.8560132</v>
      </c>
      <c r="D31" s="24">
        <v>75.0</v>
      </c>
      <c r="E31" s="23">
        <v>81.0</v>
      </c>
      <c r="F31" s="23">
        <f t="shared" si="2"/>
        <v>92.88895488</v>
      </c>
      <c r="G31" s="24">
        <v>74.0</v>
      </c>
      <c r="H31" s="23">
        <v>169.0</v>
      </c>
      <c r="I31" s="23">
        <f t="shared" si="3"/>
        <v>303.1119792</v>
      </c>
      <c r="J31" s="24">
        <v>80.0</v>
      </c>
      <c r="K31" s="23">
        <v>136.0</v>
      </c>
      <c r="L31" s="23">
        <f t="shared" si="4"/>
        <v>213.8276385</v>
      </c>
      <c r="M31" s="24">
        <v>83.0</v>
      </c>
      <c r="N31" s="23">
        <v>171.0</v>
      </c>
      <c r="O31" s="23">
        <f t="shared" si="5"/>
        <v>277.9301173</v>
      </c>
      <c r="P31" s="24">
        <v>77.0</v>
      </c>
      <c r="Q31" s="23">
        <v>161.0</v>
      </c>
      <c r="R31" s="23">
        <f t="shared" si="6"/>
        <v>315.1805815</v>
      </c>
      <c r="S31" s="24">
        <v>70.0</v>
      </c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>
      <c r="A32" s="17" t="s">
        <v>74</v>
      </c>
      <c r="B32" s="23">
        <v>97.0</v>
      </c>
      <c r="C32" s="23">
        <f t="shared" si="1"/>
        <v>122.8560132</v>
      </c>
      <c r="D32" s="24">
        <v>65.0</v>
      </c>
      <c r="E32" s="23">
        <v>98.0</v>
      </c>
      <c r="F32" s="23">
        <f t="shared" si="2"/>
        <v>112.3841676</v>
      </c>
      <c r="G32" s="24">
        <v>95.0</v>
      </c>
      <c r="H32" s="23">
        <v>97.0</v>
      </c>
      <c r="I32" s="23">
        <f t="shared" si="3"/>
        <v>173.9755147</v>
      </c>
      <c r="J32" s="24">
        <v>78.0</v>
      </c>
      <c r="K32" s="23">
        <v>174.0</v>
      </c>
      <c r="L32" s="23">
        <f t="shared" si="4"/>
        <v>273.5735964</v>
      </c>
      <c r="M32" s="24">
        <v>82.0</v>
      </c>
      <c r="N32" s="23">
        <v>187.0</v>
      </c>
      <c r="O32" s="23">
        <f t="shared" si="5"/>
        <v>303.9352745</v>
      </c>
      <c r="P32" s="24">
        <v>68.0</v>
      </c>
      <c r="Q32" s="23">
        <v>203.0</v>
      </c>
      <c r="R32" s="23">
        <f t="shared" si="6"/>
        <v>397.4016028</v>
      </c>
      <c r="S32" s="24">
        <v>93.0</v>
      </c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>
      <c r="A33" s="17" t="s">
        <v>75</v>
      </c>
      <c r="B33" s="23">
        <v>92.0</v>
      </c>
      <c r="C33" s="23">
        <f t="shared" si="1"/>
        <v>116.523229</v>
      </c>
      <c r="D33" s="24">
        <v>91.0</v>
      </c>
      <c r="E33" s="23">
        <v>104.0</v>
      </c>
      <c r="F33" s="23">
        <f t="shared" si="2"/>
        <v>119.264831</v>
      </c>
      <c r="G33" s="24">
        <v>67.0</v>
      </c>
      <c r="H33" s="23">
        <v>155.0</v>
      </c>
      <c r="I33" s="23">
        <f t="shared" si="3"/>
        <v>278.0021111</v>
      </c>
      <c r="J33" s="24">
        <v>94.0</v>
      </c>
      <c r="K33" s="23">
        <v>167.0</v>
      </c>
      <c r="L33" s="23">
        <f t="shared" si="4"/>
        <v>262.567762</v>
      </c>
      <c r="M33" s="24">
        <v>78.0</v>
      </c>
      <c r="N33" s="23">
        <v>181.0</v>
      </c>
      <c r="O33" s="23">
        <f t="shared" si="5"/>
        <v>294.1833406</v>
      </c>
      <c r="P33" s="24">
        <v>68.0</v>
      </c>
      <c r="Q33" s="23">
        <v>229.0</v>
      </c>
      <c r="R33" s="23">
        <f t="shared" si="6"/>
        <v>448.3003302</v>
      </c>
      <c r="S33" s="24">
        <v>93.0</v>
      </c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>
      <c r="A34" s="17" t="s">
        <v>76</v>
      </c>
      <c r="B34" s="23">
        <v>72.0</v>
      </c>
      <c r="C34" s="23">
        <f t="shared" si="1"/>
        <v>91.19209226</v>
      </c>
      <c r="D34" s="24">
        <v>79.0</v>
      </c>
      <c r="E34" s="23">
        <v>74.0</v>
      </c>
      <c r="F34" s="23">
        <f t="shared" si="2"/>
        <v>84.86151434</v>
      </c>
      <c r="G34" s="24">
        <v>67.0</v>
      </c>
      <c r="H34" s="23">
        <v>88.0</v>
      </c>
      <c r="I34" s="23">
        <f t="shared" si="3"/>
        <v>157.8334566</v>
      </c>
      <c r="J34" s="24">
        <v>94.0</v>
      </c>
      <c r="K34" s="23">
        <v>131.0</v>
      </c>
      <c r="L34" s="23">
        <f t="shared" si="4"/>
        <v>205.9663283</v>
      </c>
      <c r="M34" s="24">
        <v>94.0</v>
      </c>
      <c r="N34" s="23">
        <v>121.0</v>
      </c>
      <c r="O34" s="23">
        <f t="shared" si="5"/>
        <v>196.6640012</v>
      </c>
      <c r="P34" s="24">
        <v>82.0</v>
      </c>
      <c r="Q34" s="23">
        <v>172.0</v>
      </c>
      <c r="R34" s="23">
        <f t="shared" si="6"/>
        <v>336.7146585</v>
      </c>
      <c r="S34" s="24">
        <v>81.0</v>
      </c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>
      <c r="A35" s="17" t="s">
        <v>77</v>
      </c>
      <c r="B35" s="23">
        <v>68.0</v>
      </c>
      <c r="C35" s="23">
        <f t="shared" si="1"/>
        <v>86.12586491</v>
      </c>
      <c r="D35" s="24">
        <v>68.0</v>
      </c>
      <c r="E35" s="23">
        <v>55.0</v>
      </c>
      <c r="F35" s="23">
        <f t="shared" si="2"/>
        <v>63.07274714</v>
      </c>
      <c r="G35" s="24">
        <v>84.0</v>
      </c>
      <c r="H35" s="23">
        <v>57.0</v>
      </c>
      <c r="I35" s="23">
        <f t="shared" si="3"/>
        <v>102.2330344</v>
      </c>
      <c r="J35" s="24">
        <v>82.0</v>
      </c>
      <c r="K35" s="23">
        <v>75.0</v>
      </c>
      <c r="L35" s="23">
        <f t="shared" si="4"/>
        <v>117.9196536</v>
      </c>
      <c r="M35" s="24">
        <v>69.0</v>
      </c>
      <c r="N35" s="23">
        <v>69.0</v>
      </c>
      <c r="O35" s="23">
        <f t="shared" si="5"/>
        <v>112.1472403</v>
      </c>
      <c r="P35" s="24">
        <v>74.0</v>
      </c>
      <c r="Q35" s="23">
        <v>80.0</v>
      </c>
      <c r="R35" s="23">
        <f t="shared" si="6"/>
        <v>156.6114691</v>
      </c>
      <c r="S35" s="24">
        <v>94.0</v>
      </c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>
      <c r="A36" s="17" t="s">
        <v>72</v>
      </c>
      <c r="B36" s="23">
        <v>67.0</v>
      </c>
      <c r="C36" s="23">
        <f t="shared" si="1"/>
        <v>84.85930807</v>
      </c>
      <c r="D36" s="24">
        <v>79.0</v>
      </c>
      <c r="E36" s="23">
        <v>76.0</v>
      </c>
      <c r="F36" s="23">
        <f t="shared" si="2"/>
        <v>87.15506878</v>
      </c>
      <c r="G36" s="24">
        <v>85.0</v>
      </c>
      <c r="H36" s="23">
        <v>177.0</v>
      </c>
      <c r="I36" s="23">
        <f t="shared" si="3"/>
        <v>317.4604753</v>
      </c>
      <c r="J36" s="24">
        <v>73.0</v>
      </c>
      <c r="K36" s="23">
        <v>245.0</v>
      </c>
      <c r="L36" s="23">
        <f t="shared" si="4"/>
        <v>385.2042018</v>
      </c>
      <c r="M36" s="24">
        <v>77.0</v>
      </c>
      <c r="N36" s="23">
        <v>235.0</v>
      </c>
      <c r="O36" s="23">
        <f t="shared" si="5"/>
        <v>381.9507461</v>
      </c>
      <c r="P36" s="24">
        <v>78.0</v>
      </c>
      <c r="Q36" s="23">
        <v>308.0</v>
      </c>
      <c r="R36" s="23">
        <f t="shared" si="6"/>
        <v>602.9541559</v>
      </c>
      <c r="S36" s="24">
        <v>90.0</v>
      </c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>
      <c r="A37" s="17" t="s">
        <v>56</v>
      </c>
      <c r="B37" s="23">
        <v>58.0</v>
      </c>
      <c r="C37" s="23">
        <f t="shared" si="1"/>
        <v>73.46029654</v>
      </c>
      <c r="D37" s="24">
        <v>90.0</v>
      </c>
      <c r="E37" s="23">
        <v>49.0</v>
      </c>
      <c r="F37" s="23">
        <f t="shared" si="2"/>
        <v>56.19208382</v>
      </c>
      <c r="G37" s="24">
        <v>72.0</v>
      </c>
      <c r="H37" s="23">
        <v>50.0</v>
      </c>
      <c r="I37" s="23">
        <f t="shared" si="3"/>
        <v>89.67810036</v>
      </c>
      <c r="J37" s="24">
        <v>80.0</v>
      </c>
      <c r="K37" s="23">
        <v>54.0</v>
      </c>
      <c r="L37" s="23">
        <f t="shared" si="4"/>
        <v>84.90215059</v>
      </c>
      <c r="M37" s="24">
        <v>86.0</v>
      </c>
      <c r="N37" s="23">
        <v>44.0</v>
      </c>
      <c r="O37" s="23">
        <f t="shared" si="5"/>
        <v>71.51418224</v>
      </c>
      <c r="P37" s="24">
        <v>93.0</v>
      </c>
      <c r="Q37" s="23">
        <v>47.0</v>
      </c>
      <c r="R37" s="23">
        <f t="shared" si="6"/>
        <v>92.00923808</v>
      </c>
      <c r="S37" s="24">
        <v>75.0</v>
      </c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>
      <c r="A38" s="17" t="s">
        <v>78</v>
      </c>
      <c r="B38" s="23">
        <v>40.0</v>
      </c>
      <c r="C38" s="23">
        <f t="shared" si="1"/>
        <v>50.66227348</v>
      </c>
      <c r="D38" s="24">
        <v>94.0</v>
      </c>
      <c r="E38" s="23">
        <v>37.0</v>
      </c>
      <c r="F38" s="23">
        <f t="shared" si="2"/>
        <v>42.43075717</v>
      </c>
      <c r="G38" s="24">
        <v>86.0</v>
      </c>
      <c r="H38" s="23">
        <v>46.0</v>
      </c>
      <c r="I38" s="23">
        <f t="shared" si="3"/>
        <v>82.50385233</v>
      </c>
      <c r="J38" s="24">
        <v>92.0</v>
      </c>
      <c r="K38" s="23">
        <v>44.0</v>
      </c>
      <c r="L38" s="23">
        <f t="shared" si="4"/>
        <v>69.17953011</v>
      </c>
      <c r="M38" s="24">
        <v>89.0</v>
      </c>
      <c r="N38" s="23">
        <v>43.0</v>
      </c>
      <c r="O38" s="23">
        <f t="shared" si="5"/>
        <v>69.88885992</v>
      </c>
      <c r="P38" s="24">
        <v>89.0</v>
      </c>
      <c r="Q38" s="23">
        <v>49.0</v>
      </c>
      <c r="R38" s="23">
        <f t="shared" si="6"/>
        <v>95.9245248</v>
      </c>
      <c r="S38" s="24">
        <v>70.0</v>
      </c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>
      <c r="A39" s="17" t="s">
        <v>80</v>
      </c>
      <c r="B39" s="23">
        <v>30.0</v>
      </c>
      <c r="C39" s="23">
        <f t="shared" si="1"/>
        <v>37.99670511</v>
      </c>
      <c r="D39" s="24">
        <v>83.0</v>
      </c>
      <c r="E39" s="23">
        <v>31.0</v>
      </c>
      <c r="F39" s="23">
        <f t="shared" si="2"/>
        <v>35.55009384</v>
      </c>
      <c r="G39" s="24">
        <v>71.0</v>
      </c>
      <c r="H39" s="23">
        <v>37.0</v>
      </c>
      <c r="I39" s="23">
        <f t="shared" si="3"/>
        <v>66.36179427</v>
      </c>
      <c r="J39" s="24">
        <v>73.0</v>
      </c>
      <c r="K39" s="23">
        <v>46.0</v>
      </c>
      <c r="L39" s="23">
        <f t="shared" si="4"/>
        <v>72.32405421</v>
      </c>
      <c r="M39" s="24">
        <v>68.0</v>
      </c>
      <c r="N39" s="23">
        <v>50.0</v>
      </c>
      <c r="O39" s="23">
        <f t="shared" si="5"/>
        <v>81.26611618</v>
      </c>
      <c r="P39" s="24">
        <v>93.0</v>
      </c>
      <c r="Q39" s="23">
        <v>57.0</v>
      </c>
      <c r="R39" s="23">
        <f t="shared" si="6"/>
        <v>111.5856717</v>
      </c>
      <c r="S39" s="24">
        <v>88.0</v>
      </c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>
      <c r="A40" s="17" t="s">
        <v>81</v>
      </c>
      <c r="B40" s="23">
        <v>26.0</v>
      </c>
      <c r="C40" s="23">
        <f t="shared" si="1"/>
        <v>32.93047776</v>
      </c>
      <c r="D40" s="24">
        <v>65.0</v>
      </c>
      <c r="E40" s="23">
        <v>44.0</v>
      </c>
      <c r="F40" s="23">
        <f t="shared" si="2"/>
        <v>50.45819771</v>
      </c>
      <c r="G40" s="24">
        <v>71.0</v>
      </c>
      <c r="H40" s="23">
        <v>49.0</v>
      </c>
      <c r="I40" s="23">
        <f t="shared" si="3"/>
        <v>87.88453835</v>
      </c>
      <c r="J40" s="24">
        <v>68.0</v>
      </c>
      <c r="K40" s="23">
        <v>52.0</v>
      </c>
      <c r="L40" s="23">
        <f t="shared" si="4"/>
        <v>81.7576265</v>
      </c>
      <c r="M40" s="24">
        <v>74.0</v>
      </c>
      <c r="N40" s="23">
        <v>73.0</v>
      </c>
      <c r="O40" s="23">
        <f t="shared" si="5"/>
        <v>118.6485296</v>
      </c>
      <c r="P40" s="24">
        <v>73.0</v>
      </c>
      <c r="Q40" s="23">
        <v>109.0</v>
      </c>
      <c r="R40" s="23">
        <f t="shared" si="6"/>
        <v>213.3831266</v>
      </c>
      <c r="S40" s="24">
        <v>70.0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>
      <c r="A41" s="17" t="s">
        <v>82</v>
      </c>
      <c r="B41" s="23">
        <v>25.0</v>
      </c>
      <c r="C41" s="23">
        <f t="shared" si="1"/>
        <v>31.66392092</v>
      </c>
      <c r="D41" s="24">
        <v>65.0</v>
      </c>
      <c r="E41" s="23">
        <v>22.0</v>
      </c>
      <c r="F41" s="23">
        <f t="shared" si="2"/>
        <v>25.22909886</v>
      </c>
      <c r="G41" s="24">
        <v>92.0</v>
      </c>
      <c r="H41" s="23">
        <v>68.0</v>
      </c>
      <c r="I41" s="23">
        <f t="shared" si="3"/>
        <v>121.9622165</v>
      </c>
      <c r="J41" s="24">
        <v>82.0</v>
      </c>
      <c r="K41" s="23">
        <v>91.0</v>
      </c>
      <c r="L41" s="23">
        <f t="shared" si="4"/>
        <v>143.0758464</v>
      </c>
      <c r="M41" s="24">
        <v>66.0</v>
      </c>
      <c r="N41" s="23">
        <v>79.0</v>
      </c>
      <c r="O41" s="23">
        <f t="shared" si="5"/>
        <v>128.4004636</v>
      </c>
      <c r="P41" s="24">
        <v>68.0</v>
      </c>
      <c r="Q41" s="23">
        <v>58.0</v>
      </c>
      <c r="R41" s="23">
        <f t="shared" si="6"/>
        <v>113.5433151</v>
      </c>
      <c r="S41" s="24">
        <v>85.0</v>
      </c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>
      <c r="A42" s="17" t="s">
        <v>83</v>
      </c>
      <c r="B42" s="23">
        <v>20.0</v>
      </c>
      <c r="C42" s="23">
        <f t="shared" si="1"/>
        <v>25.33113674</v>
      </c>
      <c r="D42" s="24">
        <v>81.0</v>
      </c>
      <c r="E42" s="23">
        <v>19.0</v>
      </c>
      <c r="F42" s="23">
        <f t="shared" si="2"/>
        <v>21.78876719</v>
      </c>
      <c r="G42" s="24">
        <v>82.0</v>
      </c>
      <c r="H42" s="23">
        <v>20.0</v>
      </c>
      <c r="I42" s="23">
        <f t="shared" si="3"/>
        <v>35.87124014</v>
      </c>
      <c r="J42" s="24">
        <v>88.0</v>
      </c>
      <c r="K42" s="23">
        <v>19.0</v>
      </c>
      <c r="L42" s="23">
        <f t="shared" si="4"/>
        <v>29.87297891</v>
      </c>
      <c r="M42" s="24">
        <v>78.0</v>
      </c>
      <c r="N42" s="23">
        <v>24.0</v>
      </c>
      <c r="O42" s="23">
        <f t="shared" si="5"/>
        <v>39.00773577</v>
      </c>
      <c r="P42" s="24">
        <v>76.0</v>
      </c>
      <c r="Q42" s="23">
        <v>24.0</v>
      </c>
      <c r="R42" s="23">
        <f t="shared" si="6"/>
        <v>46.98344072</v>
      </c>
      <c r="S42" s="24">
        <v>79.0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>
      <c r="A43" s="17" t="s">
        <v>43</v>
      </c>
      <c r="B43" s="23">
        <v>17.0</v>
      </c>
      <c r="C43" s="23">
        <f t="shared" si="1"/>
        <v>21.53146623</v>
      </c>
      <c r="D43" s="24">
        <v>70.0</v>
      </c>
      <c r="E43" s="23">
        <v>12.0</v>
      </c>
      <c r="F43" s="23">
        <f t="shared" si="2"/>
        <v>13.76132665</v>
      </c>
      <c r="G43" s="24">
        <v>90.0</v>
      </c>
      <c r="H43" s="23">
        <v>14.0</v>
      </c>
      <c r="I43" s="23">
        <f t="shared" si="3"/>
        <v>25.1098681</v>
      </c>
      <c r="J43" s="24">
        <v>67.0</v>
      </c>
      <c r="K43" s="23">
        <v>10.0</v>
      </c>
      <c r="L43" s="23">
        <f t="shared" si="4"/>
        <v>15.72262048</v>
      </c>
      <c r="M43" s="24">
        <v>85.0</v>
      </c>
      <c r="N43" s="23">
        <v>18.0</v>
      </c>
      <c r="O43" s="23">
        <f t="shared" si="5"/>
        <v>29.25580183</v>
      </c>
      <c r="P43" s="24">
        <v>91.0</v>
      </c>
      <c r="Q43" s="23">
        <v>20.0</v>
      </c>
      <c r="R43" s="23">
        <f t="shared" si="6"/>
        <v>39.15286727</v>
      </c>
      <c r="S43" s="24">
        <v>67.0</v>
      </c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>
      <c r="A44" s="17" t="s">
        <v>84</v>
      </c>
      <c r="B44" s="23">
        <v>16.0</v>
      </c>
      <c r="C44" s="23">
        <f t="shared" si="1"/>
        <v>20.26490939</v>
      </c>
      <c r="D44" s="24">
        <v>89.0</v>
      </c>
      <c r="E44" s="23">
        <v>20.0</v>
      </c>
      <c r="F44" s="23">
        <f t="shared" si="2"/>
        <v>22.93554442</v>
      </c>
      <c r="G44" s="24">
        <v>79.0</v>
      </c>
      <c r="H44" s="23">
        <v>12.0</v>
      </c>
      <c r="I44" s="23">
        <f t="shared" si="3"/>
        <v>21.52274409</v>
      </c>
      <c r="J44" s="24">
        <v>65.0</v>
      </c>
      <c r="K44" s="23">
        <v>21.0</v>
      </c>
      <c r="L44" s="23">
        <f t="shared" si="4"/>
        <v>33.01750301</v>
      </c>
      <c r="M44" s="24">
        <v>87.0</v>
      </c>
      <c r="N44" s="23">
        <v>18.0</v>
      </c>
      <c r="O44" s="23">
        <f t="shared" si="5"/>
        <v>29.25580183</v>
      </c>
      <c r="P44" s="24">
        <v>86.0</v>
      </c>
      <c r="Q44" s="23">
        <v>14.0</v>
      </c>
      <c r="R44" s="23">
        <f t="shared" si="6"/>
        <v>27.40700709</v>
      </c>
      <c r="S44" s="24">
        <v>67.0</v>
      </c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>
      <c r="A45" s="17" t="s">
        <v>85</v>
      </c>
      <c r="B45" s="23">
        <v>9.0</v>
      </c>
      <c r="C45" s="23">
        <f t="shared" si="1"/>
        <v>11.39901153</v>
      </c>
      <c r="D45" s="24">
        <v>92.0</v>
      </c>
      <c r="E45" s="23">
        <v>16.0</v>
      </c>
      <c r="F45" s="23">
        <f t="shared" si="2"/>
        <v>18.34843553</v>
      </c>
      <c r="G45" s="24">
        <v>85.0</v>
      </c>
      <c r="H45" s="23">
        <v>26.0</v>
      </c>
      <c r="I45" s="23">
        <f t="shared" si="3"/>
        <v>46.63261219</v>
      </c>
      <c r="J45" s="24">
        <v>65.0</v>
      </c>
      <c r="K45" s="23">
        <v>29.0</v>
      </c>
      <c r="L45" s="23">
        <f t="shared" si="4"/>
        <v>45.59559939</v>
      </c>
      <c r="M45" s="24">
        <v>88.0</v>
      </c>
      <c r="N45" s="23">
        <v>25.0</v>
      </c>
      <c r="O45" s="23">
        <f t="shared" si="5"/>
        <v>40.63305809</v>
      </c>
      <c r="P45" s="24">
        <v>79.0</v>
      </c>
      <c r="Q45" s="23">
        <v>33.0</v>
      </c>
      <c r="R45" s="23">
        <f t="shared" si="6"/>
        <v>64.60223099</v>
      </c>
      <c r="S45" s="24">
        <v>72.0</v>
      </c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>
      <c r="A46" s="17" t="s">
        <v>86</v>
      </c>
      <c r="B46" s="23">
        <v>8.0</v>
      </c>
      <c r="C46" s="23">
        <f t="shared" si="1"/>
        <v>10.1324547</v>
      </c>
      <c r="D46" s="24">
        <v>86.0</v>
      </c>
      <c r="E46" s="23">
        <v>12.0</v>
      </c>
      <c r="F46" s="23">
        <f t="shared" si="2"/>
        <v>13.76132665</v>
      </c>
      <c r="G46" s="24">
        <v>68.0</v>
      </c>
      <c r="H46" s="23">
        <v>18.0</v>
      </c>
      <c r="I46" s="23">
        <f t="shared" si="3"/>
        <v>32.28411613</v>
      </c>
      <c r="J46" s="24">
        <v>68.0</v>
      </c>
      <c r="K46" s="23">
        <v>9.0</v>
      </c>
      <c r="L46" s="23">
        <f t="shared" si="4"/>
        <v>14.15035843</v>
      </c>
      <c r="M46" s="24">
        <v>69.0</v>
      </c>
      <c r="N46" s="23">
        <v>15.0</v>
      </c>
      <c r="O46" s="23">
        <f t="shared" si="5"/>
        <v>24.37983485</v>
      </c>
      <c r="P46" s="24">
        <v>95.0</v>
      </c>
      <c r="Q46" s="23">
        <v>20.0</v>
      </c>
      <c r="R46" s="23">
        <f t="shared" si="6"/>
        <v>39.15286727</v>
      </c>
      <c r="S46" s="24">
        <v>85.0</v>
      </c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>
      <c r="A47" s="17" t="s">
        <v>79</v>
      </c>
      <c r="B47" s="23">
        <v>4.0</v>
      </c>
      <c r="C47" s="23">
        <f t="shared" si="1"/>
        <v>5.066227348</v>
      </c>
      <c r="D47" s="24">
        <v>65.0</v>
      </c>
      <c r="E47" s="23">
        <v>2.0</v>
      </c>
      <c r="F47" s="23">
        <f t="shared" si="2"/>
        <v>2.293554442</v>
      </c>
      <c r="G47" s="24">
        <v>81.0</v>
      </c>
      <c r="H47" s="23">
        <v>9.0</v>
      </c>
      <c r="I47" s="23">
        <f t="shared" si="3"/>
        <v>16.14205806</v>
      </c>
      <c r="J47" s="24">
        <v>92.0</v>
      </c>
      <c r="K47" s="23">
        <v>7.0</v>
      </c>
      <c r="L47" s="23">
        <f t="shared" si="4"/>
        <v>11.00583434</v>
      </c>
      <c r="M47" s="24">
        <v>94.0</v>
      </c>
      <c r="N47" s="23">
        <v>6.0</v>
      </c>
      <c r="O47" s="23">
        <f t="shared" si="5"/>
        <v>9.751933942</v>
      </c>
      <c r="P47" s="24">
        <v>70.0</v>
      </c>
      <c r="Q47" s="23">
        <v>12.0</v>
      </c>
      <c r="R47" s="23">
        <f t="shared" si="6"/>
        <v>23.49172036</v>
      </c>
      <c r="S47" s="24">
        <v>94.0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>
      <c r="A48" s="17" t="s">
        <v>87</v>
      </c>
      <c r="B48" s="23">
        <v>4.0</v>
      </c>
      <c r="C48" s="23">
        <f t="shared" si="1"/>
        <v>5.066227348</v>
      </c>
      <c r="D48" s="24">
        <v>86.0</v>
      </c>
      <c r="E48" s="23">
        <v>7.0</v>
      </c>
      <c r="F48" s="23">
        <f t="shared" si="2"/>
        <v>8.027440545</v>
      </c>
      <c r="G48" s="24">
        <v>79.0</v>
      </c>
      <c r="H48" s="23">
        <v>8.0</v>
      </c>
      <c r="I48" s="23">
        <f t="shared" si="3"/>
        <v>14.34849606</v>
      </c>
      <c r="J48" s="24">
        <v>80.0</v>
      </c>
      <c r="K48" s="23">
        <v>8.0</v>
      </c>
      <c r="L48" s="23">
        <f t="shared" si="4"/>
        <v>12.57809638</v>
      </c>
      <c r="M48" s="24">
        <v>80.0</v>
      </c>
      <c r="N48" s="23">
        <v>7.0</v>
      </c>
      <c r="O48" s="23">
        <f t="shared" si="5"/>
        <v>11.37725627</v>
      </c>
      <c r="P48" s="24">
        <v>70.0</v>
      </c>
      <c r="Q48" s="23">
        <v>9.0</v>
      </c>
      <c r="R48" s="23">
        <f t="shared" si="6"/>
        <v>17.61879027</v>
      </c>
      <c r="S48" s="24">
        <v>71.0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>
      <c r="A49" s="17" t="s">
        <v>60</v>
      </c>
      <c r="B49" s="23">
        <v>1.0</v>
      </c>
      <c r="C49" s="23">
        <f t="shared" si="1"/>
        <v>1.266556837</v>
      </c>
      <c r="D49" s="24">
        <v>79.0</v>
      </c>
      <c r="E49" s="11"/>
      <c r="F49" s="23">
        <f t="shared" si="2"/>
        <v>0</v>
      </c>
      <c r="G49" s="24">
        <v>88.0</v>
      </c>
      <c r="H49" s="36"/>
      <c r="I49" s="23">
        <f t="shared" si="3"/>
        <v>0</v>
      </c>
      <c r="J49" s="24">
        <v>65.0</v>
      </c>
      <c r="K49" s="11"/>
      <c r="L49" s="23">
        <f t="shared" si="4"/>
        <v>0</v>
      </c>
      <c r="M49" s="24">
        <v>77.0</v>
      </c>
      <c r="N49" s="23">
        <v>2.0</v>
      </c>
      <c r="O49" s="23">
        <f t="shared" si="5"/>
        <v>3.250644647</v>
      </c>
      <c r="P49" s="24">
        <v>92.0</v>
      </c>
      <c r="Q49" s="23">
        <v>1.0</v>
      </c>
      <c r="R49" s="23">
        <f t="shared" si="6"/>
        <v>1.957643363</v>
      </c>
      <c r="S49" s="24">
        <v>90.0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>
      <c r="A50" s="11"/>
      <c r="B50" s="11"/>
      <c r="D50" s="11"/>
      <c r="E50" s="11"/>
      <c r="F50" s="23"/>
      <c r="G50" s="11"/>
      <c r="H50" s="11"/>
      <c r="I50" s="23"/>
      <c r="J50" s="11"/>
      <c r="K50" s="11"/>
      <c r="L50" s="23"/>
      <c r="M50" s="11"/>
      <c r="N50" s="11"/>
      <c r="O50" s="23"/>
      <c r="P50" s="11"/>
      <c r="Q50" s="11"/>
      <c r="R50" s="23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>
      <c r="A51" s="37"/>
      <c r="B51" s="11">
        <f t="shared" ref="B51:C51" si="7">SUM(B4:B49)</f>
        <v>39455</v>
      </c>
      <c r="C51" s="11">
        <f t="shared" si="7"/>
        <v>49972</v>
      </c>
      <c r="D51" s="11"/>
      <c r="E51" s="11">
        <f t="shared" ref="E51:F51" si="8">SUM(E4:E49)</f>
        <v>42091</v>
      </c>
      <c r="F51" s="11">
        <f t="shared" si="8"/>
        <v>48269</v>
      </c>
      <c r="G51" s="11"/>
      <c r="H51" s="11">
        <f t="shared" ref="H51:I51" si="9">SUM(H4:H49)</f>
        <v>55421</v>
      </c>
      <c r="I51" s="11">
        <f t="shared" si="9"/>
        <v>99401</v>
      </c>
      <c r="J51" s="11"/>
      <c r="K51" s="11">
        <f t="shared" ref="K51:L51" si="10">SUM(K4:K49)</f>
        <v>76444</v>
      </c>
      <c r="L51" s="11">
        <f t="shared" si="10"/>
        <v>120190</v>
      </c>
      <c r="M51" s="11"/>
      <c r="N51" s="11">
        <f t="shared" ref="N51:O51" si="11">SUM(N4:N49)</f>
        <v>69030</v>
      </c>
      <c r="O51" s="11">
        <f t="shared" si="11"/>
        <v>112196</v>
      </c>
      <c r="P51" s="11"/>
      <c r="Q51" s="11">
        <f t="shared" ref="Q51:R51" si="12">SUM(Q4:Q49)</f>
        <v>80861</v>
      </c>
      <c r="R51" s="11">
        <f t="shared" si="12"/>
        <v>158297</v>
      </c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>
      <c r="A52" s="37" t="s">
        <v>106</v>
      </c>
      <c r="B52" s="11"/>
      <c r="C52" s="11"/>
      <c r="D52" s="11"/>
      <c r="E52" s="11"/>
      <c r="F52" s="23">
        <f>$H$62*(E52/$E$51)</f>
        <v>0</v>
      </c>
      <c r="G52" s="11"/>
      <c r="H52" s="11"/>
      <c r="I52" s="23">
        <f>$N$62*(H52/$H$51)</f>
        <v>0</v>
      </c>
      <c r="J52" s="11"/>
      <c r="K52" s="11"/>
      <c r="L52" s="23"/>
      <c r="M52" s="11"/>
      <c r="N52" s="11"/>
      <c r="O52" s="23"/>
      <c r="P52" s="11"/>
      <c r="Q52" s="11"/>
      <c r="R52" s="23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>
      <c r="A53" s="38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>
      <c r="A54" s="11" t="s">
        <v>88</v>
      </c>
      <c r="C54" s="40"/>
      <c r="D54" s="40">
        <v>0.95</v>
      </c>
      <c r="E54" s="11"/>
      <c r="F54" s="40"/>
      <c r="G54" s="40">
        <v>1.1</v>
      </c>
      <c r="H54" s="11"/>
      <c r="I54" s="40"/>
      <c r="J54" s="40">
        <v>0.94</v>
      </c>
      <c r="K54" s="11"/>
      <c r="L54" s="40"/>
      <c r="M54" s="40">
        <v>0.95</v>
      </c>
      <c r="N54" s="11"/>
      <c r="O54" s="40"/>
      <c r="P54" s="40">
        <v>0.9</v>
      </c>
      <c r="Q54" s="11"/>
      <c r="R54" s="40"/>
      <c r="S54" s="40">
        <v>0.92</v>
      </c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>
      <c r="A55" s="11" t="s">
        <v>89</v>
      </c>
      <c r="C55" s="41"/>
      <c r="D55" s="41">
        <v>44189.600000000006</v>
      </c>
      <c r="E55" s="11"/>
      <c r="F55" s="41"/>
      <c r="G55" s="41">
        <v>45458.280000000006</v>
      </c>
      <c r="H55" s="11"/>
      <c r="I55" s="41"/>
      <c r="J55" s="41">
        <v>57637.840000000004</v>
      </c>
      <c r="K55" s="11"/>
      <c r="L55" s="41"/>
      <c r="M55" s="41">
        <v>76444.0</v>
      </c>
      <c r="N55" s="11"/>
      <c r="O55" s="41"/>
      <c r="P55" s="41">
        <v>74552.40000000001</v>
      </c>
      <c r="Q55" s="11"/>
      <c r="R55" s="41"/>
      <c r="S55" s="41">
        <v>80861.0</v>
      </c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>
      <c r="A57" s="11"/>
      <c r="B57" s="4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>
      <c r="A58" s="11"/>
      <c r="B58" s="4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>
      <c r="A62" s="11"/>
      <c r="B62" s="43">
        <v>49972.0</v>
      </c>
      <c r="C62" s="43"/>
      <c r="E62" s="43">
        <v>48269.0</v>
      </c>
      <c r="H62" s="43">
        <v>99401.0</v>
      </c>
      <c r="K62" s="43">
        <v>120190.0</v>
      </c>
      <c r="N62" s="43">
        <v>112196.0</v>
      </c>
      <c r="O62" s="43"/>
      <c r="P62" s="43"/>
      <c r="Q62" s="44" t="s">
        <v>108</v>
      </c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</row>
    <row r="257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</row>
    <row r="258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</row>
    <row r="259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</row>
    <row r="260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</row>
    <row r="26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</row>
    <row r="262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</row>
    <row r="26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</row>
    <row r="264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</row>
    <row r="265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</row>
    <row r="266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</row>
    <row r="267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</row>
    <row r="268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</row>
    <row r="269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</row>
    <row r="270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</row>
    <row r="27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</row>
    <row r="272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</row>
    <row r="27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</row>
    <row r="274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</row>
    <row r="275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</row>
    <row r="276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</row>
    <row r="277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</row>
    <row r="278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</row>
    <row r="279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</row>
    <row r="280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</row>
    <row r="28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</row>
    <row r="282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</row>
    <row r="28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</row>
    <row r="284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</row>
    <row r="285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</row>
    <row r="286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</row>
    <row r="287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</row>
    <row r="288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</row>
    <row r="289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</row>
    <row r="290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</row>
    <row r="29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</row>
    <row r="292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</row>
    <row r="29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</row>
    <row r="294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</row>
    <row r="295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</row>
    <row r="296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</row>
    <row r="297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</row>
    <row r="298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</row>
    <row r="299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</row>
    <row r="300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</row>
    <row r="30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</row>
    <row r="302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</row>
    <row r="30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</row>
    <row r="304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</row>
    <row r="305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</row>
    <row r="306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</row>
    <row r="307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</row>
    <row r="308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</row>
    <row r="309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</row>
    <row r="310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</row>
    <row r="31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</row>
    <row r="312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</row>
    <row r="31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</row>
    <row r="314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</row>
    <row r="315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</row>
    <row r="316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</row>
    <row r="317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</row>
    <row r="318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</row>
    <row r="319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</row>
    <row r="320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</row>
    <row r="32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</row>
    <row r="322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</row>
    <row r="32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</row>
    <row r="324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</row>
    <row r="325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</row>
    <row r="326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</row>
    <row r="327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</row>
    <row r="328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</row>
    <row r="329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</row>
    <row r="330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</row>
    <row r="33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</row>
    <row r="332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</row>
    <row r="3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</row>
    <row r="334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</row>
    <row r="335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</row>
    <row r="336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</row>
    <row r="337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</row>
    <row r="338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</row>
    <row r="339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</row>
    <row r="340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</row>
    <row r="34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</row>
    <row r="342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</row>
    <row r="34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</row>
    <row r="344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</row>
    <row r="345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</row>
    <row r="346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</row>
    <row r="347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</row>
    <row r="348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</row>
    <row r="349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</row>
    <row r="350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</row>
    <row r="35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</row>
    <row r="352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</row>
    <row r="35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</row>
    <row r="354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</row>
    <row r="355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</row>
    <row r="356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</row>
    <row r="357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</row>
    <row r="358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</row>
    <row r="359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</row>
    <row r="360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</row>
    <row r="36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</row>
    <row r="362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</row>
    <row r="36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</row>
    <row r="364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</row>
    <row r="365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</row>
    <row r="366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</row>
    <row r="367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</row>
    <row r="368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</row>
    <row r="369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</row>
    <row r="370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</row>
    <row r="37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</row>
    <row r="372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</row>
    <row r="37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</row>
    <row r="374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</row>
    <row r="375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</row>
    <row r="376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</row>
    <row r="377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</row>
    <row r="378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</row>
    <row r="379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</row>
    <row r="380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</row>
    <row r="38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</row>
    <row r="382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</row>
    <row r="38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</row>
    <row r="384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</row>
    <row r="385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</row>
    <row r="386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</row>
    <row r="387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</row>
    <row r="388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</row>
    <row r="389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</row>
    <row r="390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</row>
    <row r="39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</row>
    <row r="392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</row>
    <row r="39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</row>
    <row r="394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</row>
    <row r="395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</row>
    <row r="396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</row>
    <row r="397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</row>
    <row r="398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</row>
    <row r="399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</row>
    <row r="400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</row>
    <row r="40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</row>
    <row r="402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</row>
    <row r="40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</row>
    <row r="404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</row>
    <row r="405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</row>
    <row r="406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</row>
    <row r="407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</row>
    <row r="408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</row>
    <row r="409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</row>
    <row r="410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</row>
    <row r="41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</row>
    <row r="412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</row>
    <row r="41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</row>
    <row r="414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</row>
    <row r="415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</row>
    <row r="416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</row>
    <row r="417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</row>
    <row r="418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</row>
    <row r="419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</row>
    <row r="420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</row>
    <row r="42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</row>
    <row r="422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</row>
    <row r="42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</row>
    <row r="424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</row>
    <row r="425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</row>
    <row r="426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</row>
    <row r="427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</row>
    <row r="428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</row>
    <row r="429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</row>
    <row r="430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</row>
    <row r="43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</row>
    <row r="432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</row>
    <row r="4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</row>
    <row r="434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</row>
    <row r="435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</row>
    <row r="436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</row>
    <row r="437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</row>
    <row r="438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</row>
    <row r="439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</row>
    <row r="440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</row>
    <row r="44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</row>
    <row r="442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</row>
    <row r="44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</row>
    <row r="444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</row>
    <row r="445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</row>
    <row r="446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</row>
    <row r="447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</row>
    <row r="448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</row>
    <row r="449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</row>
    <row r="450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</row>
    <row r="45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</row>
    <row r="452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</row>
    <row r="45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</row>
    <row r="454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</row>
    <row r="455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</row>
    <row r="456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</row>
    <row r="457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</row>
    <row r="458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</row>
    <row r="459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</row>
    <row r="460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</row>
    <row r="46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</row>
    <row r="462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</row>
    <row r="46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</row>
    <row r="464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</row>
    <row r="465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</row>
    <row r="466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</row>
    <row r="467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</row>
    <row r="468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</row>
    <row r="469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</row>
    <row r="470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</row>
    <row r="47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</row>
    <row r="472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</row>
    <row r="47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</row>
    <row r="474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</row>
    <row r="475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</row>
    <row r="476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</row>
    <row r="477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</row>
    <row r="478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</row>
    <row r="479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</row>
    <row r="480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</row>
    <row r="48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</row>
    <row r="482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</row>
    <row r="48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</row>
    <row r="484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</row>
    <row r="485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</row>
    <row r="486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</row>
    <row r="487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</row>
    <row r="488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</row>
    <row r="489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</row>
    <row r="490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</row>
    <row r="49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</row>
    <row r="492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</row>
    <row r="49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</row>
    <row r="494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</row>
    <row r="495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</row>
    <row r="496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</row>
    <row r="497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</row>
    <row r="498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</row>
    <row r="499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</row>
    <row r="500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</row>
    <row r="50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</row>
    <row r="502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</row>
    <row r="50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</row>
    <row r="504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</row>
    <row r="505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</row>
    <row r="506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</row>
    <row r="507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</row>
    <row r="508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</row>
    <row r="509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</row>
    <row r="510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</row>
    <row r="51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</row>
    <row r="512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</row>
    <row r="51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</row>
    <row r="514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</row>
    <row r="515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</row>
    <row r="516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</row>
    <row r="517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</row>
    <row r="518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</row>
    <row r="519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</row>
    <row r="520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</row>
    <row r="52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</row>
    <row r="522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</row>
    <row r="52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</row>
    <row r="524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</row>
    <row r="525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</row>
    <row r="526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</row>
    <row r="527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</row>
    <row r="528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</row>
    <row r="529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</row>
    <row r="530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</row>
    <row r="53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</row>
    <row r="532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</row>
    <row r="5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</row>
    <row r="534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</row>
    <row r="535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</row>
    <row r="536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</row>
    <row r="537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</row>
    <row r="538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</row>
    <row r="539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</row>
    <row r="540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</row>
    <row r="54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</row>
    <row r="542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</row>
    <row r="54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</row>
    <row r="544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</row>
    <row r="545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</row>
    <row r="546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</row>
    <row r="547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</row>
    <row r="548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</row>
    <row r="549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</row>
    <row r="550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</row>
    <row r="55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</row>
    <row r="552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</row>
    <row r="55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</row>
    <row r="554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</row>
    <row r="555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</row>
    <row r="556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</row>
    <row r="557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</row>
    <row r="558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</row>
    <row r="559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</row>
    <row r="560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</row>
    <row r="56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</row>
    <row r="562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</row>
    <row r="56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</row>
    <row r="564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</row>
    <row r="565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</row>
    <row r="566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</row>
    <row r="567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</row>
    <row r="568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</row>
    <row r="569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</row>
    <row r="570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</row>
    <row r="57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</row>
    <row r="572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</row>
    <row r="57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</row>
    <row r="574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</row>
    <row r="575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</row>
    <row r="576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</row>
    <row r="577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</row>
    <row r="578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</row>
    <row r="579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</row>
    <row r="580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</row>
    <row r="58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</row>
    <row r="582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</row>
    <row r="583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</row>
    <row r="584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</row>
    <row r="585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</row>
    <row r="586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</row>
    <row r="587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</row>
    <row r="588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</row>
    <row r="589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</row>
    <row r="590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</row>
    <row r="59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</row>
    <row r="592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</row>
    <row r="593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</row>
    <row r="594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</row>
    <row r="595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</row>
    <row r="596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</row>
    <row r="597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</row>
    <row r="598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</row>
    <row r="599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</row>
    <row r="600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</row>
    <row r="60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</row>
    <row r="602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</row>
    <row r="603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</row>
    <row r="604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</row>
    <row r="605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</row>
    <row r="606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</row>
    <row r="607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</row>
    <row r="608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</row>
    <row r="609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</row>
    <row r="610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</row>
    <row r="61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</row>
    <row r="612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</row>
    <row r="613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</row>
    <row r="614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</row>
    <row r="615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</row>
    <row r="616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</row>
    <row r="617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</row>
    <row r="618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</row>
    <row r="619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</row>
    <row r="620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</row>
    <row r="62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</row>
    <row r="622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</row>
    <row r="623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</row>
    <row r="624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</row>
    <row r="625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</row>
    <row r="626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</row>
    <row r="627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</row>
    <row r="628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</row>
    <row r="629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</row>
    <row r="630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</row>
    <row r="63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</row>
    <row r="632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</row>
    <row r="633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</row>
    <row r="634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</row>
    <row r="635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</row>
    <row r="636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</row>
    <row r="637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</row>
    <row r="638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</row>
    <row r="639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</row>
    <row r="640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</row>
    <row r="64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</row>
    <row r="642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</row>
    <row r="643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</row>
    <row r="644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</row>
    <row r="645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</row>
    <row r="646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</row>
    <row r="647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</row>
    <row r="648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</row>
    <row r="649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</row>
    <row r="650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</row>
    <row r="65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</row>
    <row r="652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</row>
    <row r="653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</row>
    <row r="654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</row>
    <row r="655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</row>
    <row r="656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</row>
    <row r="657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</row>
    <row r="658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</row>
    <row r="659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</row>
    <row r="660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</row>
    <row r="66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</row>
    <row r="662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</row>
    <row r="663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</row>
    <row r="664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</row>
    <row r="665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</row>
    <row r="666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</row>
    <row r="667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</row>
    <row r="668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</row>
    <row r="669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</row>
    <row r="670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</row>
    <row r="67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</row>
    <row r="672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</row>
    <row r="673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</row>
    <row r="674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</row>
    <row r="675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</row>
    <row r="676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</row>
    <row r="677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</row>
    <row r="678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</row>
    <row r="679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</row>
    <row r="680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</row>
    <row r="68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</row>
    <row r="682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</row>
    <row r="683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</row>
    <row r="684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</row>
    <row r="685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</row>
    <row r="686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</row>
    <row r="687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</row>
    <row r="688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</row>
    <row r="689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</row>
    <row r="690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</row>
    <row r="69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</row>
    <row r="692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</row>
    <row r="693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</row>
    <row r="694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</row>
    <row r="695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</row>
    <row r="696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</row>
    <row r="697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</row>
    <row r="698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</row>
    <row r="699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</row>
    <row r="700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</row>
    <row r="70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</row>
    <row r="702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</row>
    <row r="703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</row>
    <row r="704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</row>
    <row r="705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</row>
    <row r="706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</row>
    <row r="707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</row>
    <row r="708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</row>
    <row r="709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</row>
    <row r="710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</row>
    <row r="71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</row>
    <row r="712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</row>
    <row r="713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</row>
    <row r="714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</row>
    <row r="715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</row>
    <row r="716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</row>
    <row r="717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</row>
    <row r="718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</row>
    <row r="719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</row>
    <row r="720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</row>
    <row r="72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</row>
    <row r="722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</row>
    <row r="723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</row>
    <row r="724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</row>
    <row r="725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</row>
    <row r="726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</row>
    <row r="727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</row>
    <row r="728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</row>
    <row r="729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</row>
    <row r="730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</row>
    <row r="73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</row>
    <row r="732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</row>
    <row r="733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</row>
    <row r="734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</row>
    <row r="735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</row>
    <row r="736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</row>
    <row r="737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</row>
    <row r="738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</row>
    <row r="739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</row>
    <row r="740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</row>
    <row r="74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</row>
    <row r="742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</row>
    <row r="743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</row>
    <row r="744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</row>
    <row r="745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</row>
    <row r="746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</row>
    <row r="747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</row>
    <row r="748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</row>
    <row r="749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</row>
    <row r="750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</row>
    <row r="75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</row>
    <row r="752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</row>
    <row r="753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</row>
    <row r="754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</row>
    <row r="755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</row>
    <row r="756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</row>
    <row r="757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</row>
    <row r="758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</row>
    <row r="759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</row>
    <row r="760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</row>
    <row r="76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</row>
    <row r="762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</row>
    <row r="763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</row>
    <row r="764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</row>
    <row r="765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</row>
    <row r="766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</row>
    <row r="767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</row>
    <row r="768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</row>
    <row r="769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</row>
    <row r="770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</row>
    <row r="77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</row>
    <row r="772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</row>
    <row r="773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</row>
    <row r="774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</row>
    <row r="775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</row>
    <row r="776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</row>
    <row r="777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</row>
    <row r="778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</row>
    <row r="779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</row>
    <row r="780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</row>
    <row r="78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</row>
    <row r="782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</row>
    <row r="783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</row>
    <row r="784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</row>
    <row r="785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</row>
    <row r="786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</row>
    <row r="787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</row>
    <row r="788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</row>
    <row r="789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</row>
    <row r="790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</row>
    <row r="79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</row>
    <row r="792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</row>
    <row r="793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</row>
    <row r="794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</row>
    <row r="795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</row>
    <row r="796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</row>
    <row r="797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</row>
    <row r="798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</row>
    <row r="799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</row>
    <row r="800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</row>
    <row r="80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</row>
    <row r="802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</row>
    <row r="803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</row>
    <row r="804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</row>
    <row r="805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</row>
    <row r="806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</row>
    <row r="807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</row>
    <row r="808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</row>
    <row r="809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</row>
    <row r="810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</row>
    <row r="81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</row>
    <row r="812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</row>
    <row r="813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</row>
    <row r="814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</row>
    <row r="815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</row>
    <row r="816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</row>
    <row r="817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</row>
    <row r="818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</row>
    <row r="819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</row>
    <row r="820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</row>
    <row r="82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</row>
    <row r="822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</row>
    <row r="823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</row>
    <row r="824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</row>
    <row r="825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</row>
    <row r="826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</row>
    <row r="827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</row>
    <row r="828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</row>
    <row r="829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</row>
    <row r="830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</row>
    <row r="83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</row>
    <row r="832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</row>
    <row r="833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</row>
    <row r="834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</row>
    <row r="835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</row>
    <row r="836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</row>
    <row r="837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</row>
    <row r="838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</row>
    <row r="839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</row>
    <row r="840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</row>
    <row r="84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</row>
    <row r="842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</row>
    <row r="843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</row>
    <row r="844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</row>
    <row r="845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</row>
    <row r="846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</row>
    <row r="847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</row>
    <row r="848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</row>
    <row r="849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</row>
    <row r="850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</row>
    <row r="85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</row>
    <row r="852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</row>
    <row r="853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</row>
    <row r="854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</row>
    <row r="855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</row>
    <row r="856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</row>
    <row r="857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</row>
    <row r="858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</row>
    <row r="859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</row>
    <row r="860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</row>
    <row r="86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</row>
    <row r="862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</row>
    <row r="863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</row>
    <row r="864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</row>
    <row r="865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</row>
    <row r="866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</row>
    <row r="867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</row>
    <row r="868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</row>
    <row r="869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</row>
    <row r="870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</row>
    <row r="87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</row>
    <row r="872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</row>
    <row r="873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</row>
    <row r="874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</row>
    <row r="875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</row>
    <row r="876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</row>
    <row r="877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</row>
    <row r="878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</row>
    <row r="879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</row>
    <row r="880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</row>
    <row r="88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</row>
    <row r="882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</row>
    <row r="883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</row>
    <row r="884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</row>
    <row r="885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</row>
    <row r="886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</row>
    <row r="887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</row>
    <row r="888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</row>
    <row r="889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</row>
    <row r="890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</row>
    <row r="89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</row>
    <row r="892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</row>
    <row r="893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</row>
    <row r="894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</row>
    <row r="895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</row>
    <row r="896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</row>
    <row r="897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</row>
    <row r="898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</row>
    <row r="899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</row>
    <row r="900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</row>
    <row r="90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</row>
    <row r="902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</row>
    <row r="903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</row>
    <row r="904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</row>
    <row r="905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</row>
    <row r="906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</row>
    <row r="907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</row>
    <row r="908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</row>
    <row r="909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</row>
    <row r="910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</row>
    <row r="91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</row>
    <row r="912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</row>
    <row r="913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</row>
    <row r="914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</row>
    <row r="915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</row>
    <row r="916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</row>
    <row r="917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</row>
    <row r="918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</row>
    <row r="919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</row>
    <row r="920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</row>
    <row r="92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</row>
    <row r="922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</row>
    <row r="923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</row>
    <row r="924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</row>
    <row r="925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</row>
    <row r="926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</row>
    <row r="927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</row>
    <row r="928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</row>
    <row r="929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</row>
    <row r="930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</row>
    <row r="93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</row>
    <row r="932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</row>
    <row r="933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</row>
    <row r="934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</row>
    <row r="935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</row>
    <row r="936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</row>
    <row r="937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</row>
    <row r="938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</row>
    <row r="939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</row>
    <row r="940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</row>
    <row r="94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</row>
    <row r="942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</row>
    <row r="943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</row>
    <row r="944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</row>
    <row r="945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</row>
    <row r="946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</row>
    <row r="947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</row>
    <row r="948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</row>
    <row r="949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</row>
    <row r="950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</row>
    <row r="95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</row>
    <row r="952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</row>
    <row r="953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</row>
    <row r="954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</row>
    <row r="955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</row>
    <row r="956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</row>
    <row r="957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</row>
    <row r="958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</row>
    <row r="959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</row>
    <row r="960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</row>
    <row r="96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</row>
    <row r="962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</row>
    <row r="963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</row>
    <row r="964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</row>
    <row r="965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</row>
    <row r="966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</row>
    <row r="967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</row>
    <row r="968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</row>
    <row r="969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</row>
    <row r="970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</row>
    <row r="97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</row>
    <row r="972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</row>
    <row r="973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</row>
    <row r="974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</row>
    <row r="975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</row>
    <row r="976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</row>
    <row r="977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</row>
    <row r="978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</row>
    <row r="979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</row>
    <row r="980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</row>
    <row r="98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</row>
    <row r="982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</row>
    <row r="983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</row>
    <row r="984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</row>
    <row r="985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</row>
    <row r="986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</row>
    <row r="987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</row>
    <row r="988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</row>
    <row r="989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</row>
    <row r="990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</row>
    <row r="99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</row>
    <row r="992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</row>
    <row r="993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</row>
    <row r="994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</row>
    <row r="995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</row>
    <row r="996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</row>
    <row r="997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</row>
    <row r="998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</row>
    <row r="999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14.88"/>
    <col hidden="1" min="5" max="24" width="12.63"/>
  </cols>
  <sheetData>
    <row r="1">
      <c r="A1" s="28" t="s">
        <v>90</v>
      </c>
      <c r="B1" s="29" t="s">
        <v>91</v>
      </c>
      <c r="C1" s="29" t="s">
        <v>92</v>
      </c>
      <c r="D1" s="30" t="s">
        <v>24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>
      <c r="A2" s="32" t="s">
        <v>93</v>
      </c>
      <c r="B2" s="33" t="s">
        <v>94</v>
      </c>
      <c r="C2" s="34" t="s">
        <v>95</v>
      </c>
      <c r="D2" s="35">
        <v>0.18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>
      <c r="A3" s="32" t="s">
        <v>93</v>
      </c>
      <c r="B3" s="33" t="s">
        <v>96</v>
      </c>
      <c r="C3" s="34" t="s">
        <v>95</v>
      </c>
      <c r="D3" s="35">
        <v>0.06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>
      <c r="A4" s="32" t="s">
        <v>93</v>
      </c>
      <c r="B4" s="33" t="s">
        <v>97</v>
      </c>
      <c r="C4" s="34" t="s">
        <v>95</v>
      </c>
      <c r="D4" s="35">
        <v>0.0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>
      <c r="A5" s="32" t="s">
        <v>93</v>
      </c>
      <c r="B5" s="33" t="s">
        <v>98</v>
      </c>
      <c r="C5" s="34" t="s">
        <v>95</v>
      </c>
      <c r="D5" s="35">
        <v>0.01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>
      <c r="A6" s="32" t="s">
        <v>93</v>
      </c>
      <c r="B6" s="33" t="s">
        <v>99</v>
      </c>
      <c r="C6" s="34" t="s">
        <v>95</v>
      </c>
      <c r="D6" s="35">
        <v>0.01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>
      <c r="A7" s="32" t="s">
        <v>93</v>
      </c>
      <c r="B7" s="33" t="s">
        <v>100</v>
      </c>
      <c r="C7" s="34" t="s">
        <v>95</v>
      </c>
      <c r="D7" s="35">
        <v>0.07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</row>
    <row r="8">
      <c r="A8" s="32" t="s">
        <v>93</v>
      </c>
      <c r="B8" s="34" t="s">
        <v>101</v>
      </c>
      <c r="C8" s="34" t="s">
        <v>95</v>
      </c>
      <c r="D8" s="35">
        <v>0.03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>
      <c r="A9" s="32" t="s">
        <v>93</v>
      </c>
      <c r="B9" s="33" t="s">
        <v>94</v>
      </c>
      <c r="C9" s="34" t="s">
        <v>102</v>
      </c>
      <c r="D9" s="35">
        <v>0.18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</row>
    <row r="10">
      <c r="A10" s="32" t="s">
        <v>93</v>
      </c>
      <c r="B10" s="33" t="s">
        <v>96</v>
      </c>
      <c r="C10" s="34" t="s">
        <v>102</v>
      </c>
      <c r="D10" s="35">
        <v>0.06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>
      <c r="A11" s="32" t="s">
        <v>93</v>
      </c>
      <c r="B11" s="33" t="s">
        <v>98</v>
      </c>
      <c r="C11" s="34" t="s">
        <v>102</v>
      </c>
      <c r="D11" s="35">
        <v>0.01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>
      <c r="A12" s="32" t="s">
        <v>93</v>
      </c>
      <c r="B12" s="33" t="s">
        <v>99</v>
      </c>
      <c r="C12" s="34" t="s">
        <v>102</v>
      </c>
      <c r="D12" s="35">
        <v>0.01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>
      <c r="A13" s="32" t="s">
        <v>93</v>
      </c>
      <c r="B13" s="33" t="s">
        <v>100</v>
      </c>
      <c r="C13" s="34" t="s">
        <v>102</v>
      </c>
      <c r="D13" s="35">
        <v>0.05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>
      <c r="A14" s="32" t="s">
        <v>93</v>
      </c>
      <c r="B14" s="34" t="s">
        <v>101</v>
      </c>
      <c r="C14" s="34" t="s">
        <v>102</v>
      </c>
      <c r="D14" s="35">
        <v>0.05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>
      <c r="A15" s="32" t="s">
        <v>93</v>
      </c>
      <c r="B15" s="33" t="s">
        <v>94</v>
      </c>
      <c r="C15" s="34" t="s">
        <v>103</v>
      </c>
      <c r="D15" s="35">
        <v>0.18</v>
      </c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>
      <c r="A16" s="32" t="s">
        <v>93</v>
      </c>
      <c r="B16" s="33" t="s">
        <v>96</v>
      </c>
      <c r="C16" s="34" t="s">
        <v>103</v>
      </c>
      <c r="D16" s="35">
        <v>0.06</v>
      </c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>
      <c r="A17" s="32" t="s">
        <v>93</v>
      </c>
      <c r="B17" s="33" t="s">
        <v>98</v>
      </c>
      <c r="C17" s="34" t="s">
        <v>103</v>
      </c>
      <c r="D17" s="35">
        <v>0.01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>
      <c r="A18" s="32" t="s">
        <v>93</v>
      </c>
      <c r="B18" s="33" t="s">
        <v>99</v>
      </c>
      <c r="C18" s="34" t="s">
        <v>103</v>
      </c>
      <c r="D18" s="35">
        <v>0.01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>
      <c r="A19" s="32" t="s">
        <v>93</v>
      </c>
      <c r="B19" s="33" t="s">
        <v>100</v>
      </c>
      <c r="C19" s="34" t="s">
        <v>103</v>
      </c>
      <c r="D19" s="35">
        <v>0.05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>
      <c r="A20" s="32" t="s">
        <v>93</v>
      </c>
      <c r="B20" s="34" t="s">
        <v>101</v>
      </c>
      <c r="C20" s="34" t="s">
        <v>103</v>
      </c>
      <c r="D20" s="35">
        <v>0.05</v>
      </c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>
      <c r="A21" s="32" t="s">
        <v>104</v>
      </c>
      <c r="B21" s="33" t="s">
        <v>94</v>
      </c>
      <c r="C21" s="34" t="s">
        <v>95</v>
      </c>
      <c r="D21" s="35">
        <v>0.18</v>
      </c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>
      <c r="A22" s="32" t="s">
        <v>104</v>
      </c>
      <c r="B22" s="33" t="s">
        <v>96</v>
      </c>
      <c r="C22" s="34" t="s">
        <v>95</v>
      </c>
      <c r="D22" s="35">
        <v>0.06</v>
      </c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>
      <c r="A23" s="32" t="s">
        <v>104</v>
      </c>
      <c r="B23" s="33" t="s">
        <v>97</v>
      </c>
      <c r="C23" s="34" t="s">
        <v>95</v>
      </c>
      <c r="D23" s="35">
        <v>0.0</v>
      </c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>
      <c r="A24" s="32" t="s">
        <v>104</v>
      </c>
      <c r="B24" s="33" t="s">
        <v>98</v>
      </c>
      <c r="C24" s="34" t="s">
        <v>95</v>
      </c>
      <c r="D24" s="35">
        <v>0.01</v>
      </c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>
      <c r="A25" s="32" t="s">
        <v>104</v>
      </c>
      <c r="B25" s="33" t="s">
        <v>99</v>
      </c>
      <c r="C25" s="34" t="s">
        <v>95</v>
      </c>
      <c r="D25" s="35">
        <v>0.01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>
      <c r="A26" s="32" t="s">
        <v>104</v>
      </c>
      <c r="B26" s="33" t="s">
        <v>100</v>
      </c>
      <c r="C26" s="34" t="s">
        <v>95</v>
      </c>
      <c r="D26" s="35">
        <v>0.07</v>
      </c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>
      <c r="A27" s="32" t="s">
        <v>104</v>
      </c>
      <c r="B27" s="34" t="s">
        <v>101</v>
      </c>
      <c r="C27" s="34" t="s">
        <v>95</v>
      </c>
      <c r="D27" s="35">
        <v>0.03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>
      <c r="A28" s="32" t="s">
        <v>104</v>
      </c>
      <c r="B28" s="33" t="s">
        <v>94</v>
      </c>
      <c r="C28" s="34" t="s">
        <v>102</v>
      </c>
      <c r="D28" s="35">
        <v>0.18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>
      <c r="A29" s="32" t="s">
        <v>104</v>
      </c>
      <c r="B29" s="33" t="s">
        <v>96</v>
      </c>
      <c r="C29" s="34" t="s">
        <v>102</v>
      </c>
      <c r="D29" s="35">
        <v>0.06</v>
      </c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>
      <c r="A30" s="32" t="s">
        <v>104</v>
      </c>
      <c r="B30" s="33" t="s">
        <v>98</v>
      </c>
      <c r="C30" s="34" t="s">
        <v>102</v>
      </c>
      <c r="D30" s="35">
        <v>0.01</v>
      </c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>
      <c r="A31" s="32" t="s">
        <v>104</v>
      </c>
      <c r="B31" s="33" t="s">
        <v>99</v>
      </c>
      <c r="C31" s="34" t="s">
        <v>102</v>
      </c>
      <c r="D31" s="35">
        <v>0.01</v>
      </c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>
      <c r="A32" s="32" t="s">
        <v>104</v>
      </c>
      <c r="B32" s="33" t="s">
        <v>100</v>
      </c>
      <c r="C32" s="34" t="s">
        <v>102</v>
      </c>
      <c r="D32" s="35">
        <v>0.05</v>
      </c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>
      <c r="A33" s="32" t="s">
        <v>104</v>
      </c>
      <c r="B33" s="34" t="s">
        <v>101</v>
      </c>
      <c r="C33" s="34" t="s">
        <v>102</v>
      </c>
      <c r="D33" s="35">
        <v>0.05</v>
      </c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>
      <c r="A34" s="32" t="s">
        <v>104</v>
      </c>
      <c r="B34" s="33" t="s">
        <v>94</v>
      </c>
      <c r="C34" s="34" t="s">
        <v>103</v>
      </c>
      <c r="D34" s="35">
        <v>0.18</v>
      </c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>
      <c r="A35" s="32" t="s">
        <v>104</v>
      </c>
      <c r="B35" s="33" t="s">
        <v>96</v>
      </c>
      <c r="C35" s="34" t="s">
        <v>103</v>
      </c>
      <c r="D35" s="35">
        <v>0.06</v>
      </c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</row>
    <row r="36">
      <c r="A36" s="32" t="s">
        <v>104</v>
      </c>
      <c r="B36" s="33" t="s">
        <v>98</v>
      </c>
      <c r="C36" s="34" t="s">
        <v>103</v>
      </c>
      <c r="D36" s="35">
        <v>0.01</v>
      </c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</row>
    <row r="37">
      <c r="A37" s="32" t="s">
        <v>104</v>
      </c>
      <c r="B37" s="33" t="s">
        <v>99</v>
      </c>
      <c r="C37" s="34" t="s">
        <v>103</v>
      </c>
      <c r="D37" s="35">
        <v>0.01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</row>
    <row r="38">
      <c r="A38" s="32" t="s">
        <v>104</v>
      </c>
      <c r="B38" s="33" t="s">
        <v>100</v>
      </c>
      <c r="C38" s="34" t="s">
        <v>103</v>
      </c>
      <c r="D38" s="35">
        <v>0.05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>
      <c r="A39" s="32" t="s">
        <v>104</v>
      </c>
      <c r="B39" s="34" t="s">
        <v>101</v>
      </c>
      <c r="C39" s="34" t="s">
        <v>103</v>
      </c>
      <c r="D39" s="35">
        <v>0.05</v>
      </c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</row>
    <row r="40">
      <c r="A40" s="32" t="s">
        <v>105</v>
      </c>
      <c r="B40" s="33" t="s">
        <v>94</v>
      </c>
      <c r="C40" s="34" t="s">
        <v>95</v>
      </c>
      <c r="D40" s="35">
        <v>0.18</v>
      </c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</row>
    <row r="41">
      <c r="A41" s="32" t="s">
        <v>105</v>
      </c>
      <c r="B41" s="33" t="s">
        <v>96</v>
      </c>
      <c r="C41" s="34" t="s">
        <v>95</v>
      </c>
      <c r="D41" s="35">
        <v>0.06</v>
      </c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>
      <c r="A42" s="32" t="s">
        <v>105</v>
      </c>
      <c r="B42" s="33" t="s">
        <v>97</v>
      </c>
      <c r="C42" s="34" t="s">
        <v>95</v>
      </c>
      <c r="D42" s="35">
        <v>0.0</v>
      </c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>
      <c r="A43" s="32" t="s">
        <v>105</v>
      </c>
      <c r="B43" s="33" t="s">
        <v>98</v>
      </c>
      <c r="C43" s="34" t="s">
        <v>95</v>
      </c>
      <c r="D43" s="35">
        <v>0.01</v>
      </c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>
      <c r="A44" s="32" t="s">
        <v>105</v>
      </c>
      <c r="B44" s="33" t="s">
        <v>99</v>
      </c>
      <c r="C44" s="34" t="s">
        <v>95</v>
      </c>
      <c r="D44" s="35">
        <v>0.01</v>
      </c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>
      <c r="A45" s="32" t="s">
        <v>105</v>
      </c>
      <c r="B45" s="33" t="s">
        <v>100</v>
      </c>
      <c r="C45" s="34" t="s">
        <v>95</v>
      </c>
      <c r="D45" s="35">
        <v>0.07</v>
      </c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>
      <c r="A46" s="32" t="s">
        <v>105</v>
      </c>
      <c r="B46" s="34" t="s">
        <v>101</v>
      </c>
      <c r="C46" s="34" t="s">
        <v>95</v>
      </c>
      <c r="D46" s="35">
        <v>0.03</v>
      </c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>
      <c r="A47" s="32" t="s">
        <v>105</v>
      </c>
      <c r="B47" s="33" t="s">
        <v>94</v>
      </c>
      <c r="C47" s="34" t="s">
        <v>102</v>
      </c>
      <c r="D47" s="35">
        <v>0.18</v>
      </c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>
      <c r="A48" s="32" t="s">
        <v>105</v>
      </c>
      <c r="B48" s="33" t="s">
        <v>96</v>
      </c>
      <c r="C48" s="34" t="s">
        <v>102</v>
      </c>
      <c r="D48" s="35">
        <v>0.06</v>
      </c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>
      <c r="A49" s="32" t="s">
        <v>105</v>
      </c>
      <c r="B49" s="33" t="s">
        <v>98</v>
      </c>
      <c r="C49" s="34" t="s">
        <v>102</v>
      </c>
      <c r="D49" s="35">
        <v>0.01</v>
      </c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>
      <c r="A50" s="32" t="s">
        <v>105</v>
      </c>
      <c r="B50" s="33" t="s">
        <v>99</v>
      </c>
      <c r="C50" s="34" t="s">
        <v>102</v>
      </c>
      <c r="D50" s="35">
        <v>0.01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</row>
    <row r="51">
      <c r="A51" s="32" t="s">
        <v>105</v>
      </c>
      <c r="B51" s="33" t="s">
        <v>100</v>
      </c>
      <c r="C51" s="34" t="s">
        <v>102</v>
      </c>
      <c r="D51" s="35">
        <v>0.05</v>
      </c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>
      <c r="A52" s="32" t="s">
        <v>105</v>
      </c>
      <c r="B52" s="34" t="s">
        <v>101</v>
      </c>
      <c r="C52" s="34" t="s">
        <v>102</v>
      </c>
      <c r="D52" s="35">
        <v>0.05</v>
      </c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>
      <c r="A53" s="32" t="s">
        <v>105</v>
      </c>
      <c r="B53" s="33" t="s">
        <v>94</v>
      </c>
      <c r="C53" s="34" t="s">
        <v>103</v>
      </c>
      <c r="D53" s="35">
        <v>0.18</v>
      </c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</row>
    <row r="54">
      <c r="A54" s="32" t="s">
        <v>105</v>
      </c>
      <c r="B54" s="33" t="s">
        <v>96</v>
      </c>
      <c r="C54" s="34" t="s">
        <v>103</v>
      </c>
      <c r="D54" s="35">
        <v>0.06</v>
      </c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</row>
    <row r="55">
      <c r="A55" s="32" t="s">
        <v>105</v>
      </c>
      <c r="B55" s="33" t="s">
        <v>98</v>
      </c>
      <c r="C55" s="34" t="s">
        <v>103</v>
      </c>
      <c r="D55" s="35">
        <v>0.01</v>
      </c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</row>
    <row r="56">
      <c r="A56" s="32" t="s">
        <v>105</v>
      </c>
      <c r="B56" s="33" t="s">
        <v>99</v>
      </c>
      <c r="C56" s="34" t="s">
        <v>103</v>
      </c>
      <c r="D56" s="35">
        <v>0.01</v>
      </c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</row>
    <row r="57">
      <c r="A57" s="32" t="s">
        <v>105</v>
      </c>
      <c r="B57" s="33" t="s">
        <v>100</v>
      </c>
      <c r="C57" s="34" t="s">
        <v>103</v>
      </c>
      <c r="D57" s="35">
        <v>0.05</v>
      </c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</row>
    <row r="58">
      <c r="A58" s="32" t="s">
        <v>105</v>
      </c>
      <c r="B58" s="34" t="s">
        <v>101</v>
      </c>
      <c r="C58" s="34" t="s">
        <v>103</v>
      </c>
      <c r="D58" s="35">
        <v>0.05</v>
      </c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</row>
    <row r="59">
      <c r="A59" s="32" t="s">
        <v>107</v>
      </c>
      <c r="B59" s="33" t="s">
        <v>94</v>
      </c>
      <c r="C59" s="34" t="s">
        <v>95</v>
      </c>
      <c r="D59" s="35">
        <v>0.18</v>
      </c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</row>
    <row r="60">
      <c r="A60" s="32" t="s">
        <v>107</v>
      </c>
      <c r="B60" s="33" t="s">
        <v>96</v>
      </c>
      <c r="C60" s="34" t="s">
        <v>95</v>
      </c>
      <c r="D60" s="35">
        <v>0.06</v>
      </c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</row>
    <row r="61">
      <c r="A61" s="32" t="s">
        <v>107</v>
      </c>
      <c r="B61" s="33" t="s">
        <v>97</v>
      </c>
      <c r="C61" s="34" t="s">
        <v>95</v>
      </c>
      <c r="D61" s="35">
        <v>0.0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>
      <c r="A62" s="32" t="s">
        <v>107</v>
      </c>
      <c r="B62" s="33" t="s">
        <v>98</v>
      </c>
      <c r="C62" s="34" t="s">
        <v>95</v>
      </c>
      <c r="D62" s="35">
        <v>0.01</v>
      </c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</row>
    <row r="63">
      <c r="A63" s="32" t="s">
        <v>107</v>
      </c>
      <c r="B63" s="33" t="s">
        <v>99</v>
      </c>
      <c r="C63" s="34" t="s">
        <v>95</v>
      </c>
      <c r="D63" s="35">
        <v>0.01</v>
      </c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</row>
    <row r="64">
      <c r="A64" s="32" t="s">
        <v>107</v>
      </c>
      <c r="B64" s="33" t="s">
        <v>100</v>
      </c>
      <c r="C64" s="34" t="s">
        <v>95</v>
      </c>
      <c r="D64" s="35">
        <v>0.07</v>
      </c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</row>
    <row r="65">
      <c r="A65" s="32" t="s">
        <v>107</v>
      </c>
      <c r="B65" s="34" t="s">
        <v>101</v>
      </c>
      <c r="C65" s="34" t="s">
        <v>95</v>
      </c>
      <c r="D65" s="35">
        <v>0.03</v>
      </c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</row>
    <row r="66">
      <c r="A66" s="32" t="s">
        <v>107</v>
      </c>
      <c r="B66" s="33" t="s">
        <v>94</v>
      </c>
      <c r="C66" s="34" t="s">
        <v>102</v>
      </c>
      <c r="D66" s="35">
        <v>0.18</v>
      </c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</row>
    <row r="67">
      <c r="A67" s="32" t="s">
        <v>107</v>
      </c>
      <c r="B67" s="33" t="s">
        <v>96</v>
      </c>
      <c r="C67" s="34" t="s">
        <v>102</v>
      </c>
      <c r="D67" s="35">
        <v>0.06</v>
      </c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</row>
    <row r="68">
      <c r="A68" s="32" t="s">
        <v>107</v>
      </c>
      <c r="B68" s="33" t="s">
        <v>98</v>
      </c>
      <c r="C68" s="34" t="s">
        <v>102</v>
      </c>
      <c r="D68" s="35">
        <v>0.01</v>
      </c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</row>
    <row r="69">
      <c r="A69" s="32" t="s">
        <v>107</v>
      </c>
      <c r="B69" s="33" t="s">
        <v>99</v>
      </c>
      <c r="C69" s="34" t="s">
        <v>102</v>
      </c>
      <c r="D69" s="35">
        <v>0.01</v>
      </c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</row>
    <row r="70">
      <c r="A70" s="32" t="s">
        <v>107</v>
      </c>
      <c r="B70" s="33" t="s">
        <v>100</v>
      </c>
      <c r="C70" s="34" t="s">
        <v>102</v>
      </c>
      <c r="D70" s="35">
        <v>0.05</v>
      </c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</row>
    <row r="71">
      <c r="A71" s="32" t="s">
        <v>107</v>
      </c>
      <c r="B71" s="34" t="s">
        <v>101</v>
      </c>
      <c r="C71" s="34" t="s">
        <v>102</v>
      </c>
      <c r="D71" s="35">
        <v>0.05</v>
      </c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</row>
    <row r="72">
      <c r="A72" s="32" t="s">
        <v>107</v>
      </c>
      <c r="B72" s="33" t="s">
        <v>94</v>
      </c>
      <c r="C72" s="34" t="s">
        <v>103</v>
      </c>
      <c r="D72" s="35">
        <v>0.18</v>
      </c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</row>
    <row r="73">
      <c r="A73" s="32" t="s">
        <v>107</v>
      </c>
      <c r="B73" s="33" t="s">
        <v>96</v>
      </c>
      <c r="C73" s="34" t="s">
        <v>103</v>
      </c>
      <c r="D73" s="35">
        <v>0.06</v>
      </c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</row>
    <row r="74">
      <c r="A74" s="32" t="s">
        <v>107</v>
      </c>
      <c r="B74" s="33" t="s">
        <v>98</v>
      </c>
      <c r="C74" s="34" t="s">
        <v>103</v>
      </c>
      <c r="D74" s="35">
        <v>0.01</v>
      </c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</row>
    <row r="75">
      <c r="A75" s="32" t="s">
        <v>107</v>
      </c>
      <c r="B75" s="33" t="s">
        <v>99</v>
      </c>
      <c r="C75" s="34" t="s">
        <v>103</v>
      </c>
      <c r="D75" s="35">
        <v>0.01</v>
      </c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>
      <c r="A76" s="32" t="s">
        <v>107</v>
      </c>
      <c r="B76" s="33" t="s">
        <v>100</v>
      </c>
      <c r="C76" s="34" t="s">
        <v>103</v>
      </c>
      <c r="D76" s="35">
        <v>0.05</v>
      </c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</row>
    <row r="77">
      <c r="A77" s="32" t="s">
        <v>107</v>
      </c>
      <c r="B77" s="34" t="s">
        <v>101</v>
      </c>
      <c r="C77" s="34" t="s">
        <v>103</v>
      </c>
      <c r="D77" s="35">
        <v>0.05</v>
      </c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</row>
    <row r="78">
      <c r="A78" s="32" t="s">
        <v>109</v>
      </c>
      <c r="B78" s="33" t="s">
        <v>94</v>
      </c>
      <c r="C78" s="34" t="s">
        <v>95</v>
      </c>
      <c r="D78" s="35">
        <v>0.18</v>
      </c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</row>
    <row r="79">
      <c r="A79" s="32" t="s">
        <v>109</v>
      </c>
      <c r="B79" s="33" t="s">
        <v>96</v>
      </c>
      <c r="C79" s="34" t="s">
        <v>95</v>
      </c>
      <c r="D79" s="35">
        <v>0.06</v>
      </c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</row>
    <row r="80">
      <c r="A80" s="32" t="s">
        <v>109</v>
      </c>
      <c r="B80" s="33" t="s">
        <v>97</v>
      </c>
      <c r="C80" s="34" t="s">
        <v>95</v>
      </c>
      <c r="D80" s="35">
        <v>0.0</v>
      </c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</row>
    <row r="81">
      <c r="A81" s="32" t="s">
        <v>109</v>
      </c>
      <c r="B81" s="33" t="s">
        <v>98</v>
      </c>
      <c r="C81" s="34" t="s">
        <v>95</v>
      </c>
      <c r="D81" s="35">
        <v>0.01</v>
      </c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</row>
    <row r="82">
      <c r="A82" s="32" t="s">
        <v>109</v>
      </c>
      <c r="B82" s="33" t="s">
        <v>99</v>
      </c>
      <c r="C82" s="34" t="s">
        <v>95</v>
      </c>
      <c r="D82" s="35">
        <v>0.01</v>
      </c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</row>
    <row r="83">
      <c r="A83" s="32" t="s">
        <v>109</v>
      </c>
      <c r="B83" s="33" t="s">
        <v>100</v>
      </c>
      <c r="C83" s="34" t="s">
        <v>95</v>
      </c>
      <c r="D83" s="35">
        <v>0.07</v>
      </c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</row>
    <row r="84">
      <c r="A84" s="32" t="s">
        <v>109</v>
      </c>
      <c r="B84" s="34" t="s">
        <v>101</v>
      </c>
      <c r="C84" s="34" t="s">
        <v>95</v>
      </c>
      <c r="D84" s="35">
        <v>0.03</v>
      </c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</row>
    <row r="85">
      <c r="A85" s="32" t="s">
        <v>109</v>
      </c>
      <c r="B85" s="33" t="s">
        <v>94</v>
      </c>
      <c r="C85" s="34" t="s">
        <v>102</v>
      </c>
      <c r="D85" s="35">
        <v>0.18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</row>
    <row r="86">
      <c r="A86" s="32" t="s">
        <v>109</v>
      </c>
      <c r="B86" s="33" t="s">
        <v>96</v>
      </c>
      <c r="C86" s="34" t="s">
        <v>102</v>
      </c>
      <c r="D86" s="35">
        <v>0.06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</row>
    <row r="87">
      <c r="A87" s="32" t="s">
        <v>109</v>
      </c>
      <c r="B87" s="33" t="s">
        <v>98</v>
      </c>
      <c r="C87" s="34" t="s">
        <v>102</v>
      </c>
      <c r="D87" s="35">
        <v>0.01</v>
      </c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</row>
    <row r="88">
      <c r="A88" s="32" t="s">
        <v>109</v>
      </c>
      <c r="B88" s="33" t="s">
        <v>99</v>
      </c>
      <c r="C88" s="34" t="s">
        <v>102</v>
      </c>
      <c r="D88" s="35">
        <v>0.01</v>
      </c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</row>
    <row r="89">
      <c r="A89" s="32" t="s">
        <v>109</v>
      </c>
      <c r="B89" s="33" t="s">
        <v>100</v>
      </c>
      <c r="C89" s="34" t="s">
        <v>102</v>
      </c>
      <c r="D89" s="35">
        <v>0.05</v>
      </c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</row>
    <row r="90">
      <c r="A90" s="32" t="s">
        <v>109</v>
      </c>
      <c r="B90" s="34" t="s">
        <v>101</v>
      </c>
      <c r="C90" s="34" t="s">
        <v>102</v>
      </c>
      <c r="D90" s="35">
        <v>0.05</v>
      </c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</row>
    <row r="91">
      <c r="A91" s="32" t="s">
        <v>109</v>
      </c>
      <c r="B91" s="33" t="s">
        <v>94</v>
      </c>
      <c r="C91" s="34" t="s">
        <v>103</v>
      </c>
      <c r="D91" s="35">
        <v>0.18</v>
      </c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</row>
    <row r="92">
      <c r="A92" s="32" t="s">
        <v>109</v>
      </c>
      <c r="B92" s="33" t="s">
        <v>96</v>
      </c>
      <c r="C92" s="34" t="s">
        <v>103</v>
      </c>
      <c r="D92" s="35">
        <v>0.06</v>
      </c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</row>
    <row r="93">
      <c r="A93" s="32" t="s">
        <v>109</v>
      </c>
      <c r="B93" s="33" t="s">
        <v>98</v>
      </c>
      <c r="C93" s="34" t="s">
        <v>103</v>
      </c>
      <c r="D93" s="35">
        <v>0.01</v>
      </c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</row>
    <row r="94">
      <c r="A94" s="32" t="s">
        <v>109</v>
      </c>
      <c r="B94" s="33" t="s">
        <v>99</v>
      </c>
      <c r="C94" s="34" t="s">
        <v>103</v>
      </c>
      <c r="D94" s="35">
        <v>0.01</v>
      </c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</row>
    <row r="95">
      <c r="A95" s="32" t="s">
        <v>109</v>
      </c>
      <c r="B95" s="33" t="s">
        <v>100</v>
      </c>
      <c r="C95" s="34" t="s">
        <v>103</v>
      </c>
      <c r="D95" s="35">
        <v>0.05</v>
      </c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</row>
    <row r="96">
      <c r="A96" s="32" t="s">
        <v>109</v>
      </c>
      <c r="B96" s="34" t="s">
        <v>101</v>
      </c>
      <c r="C96" s="34" t="s">
        <v>103</v>
      </c>
      <c r="D96" s="35">
        <v>0.05</v>
      </c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</row>
    <row r="97" hidden="1">
      <c r="A97" s="45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</row>
    <row r="98" hidden="1">
      <c r="A98" s="45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</row>
    <row r="99" hidden="1">
      <c r="A99" s="45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</row>
    <row r="100" hidden="1">
      <c r="A100" s="45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</row>
    <row r="101" hidden="1">
      <c r="A101" s="45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</row>
    <row r="102" hidden="1">
      <c r="A102" s="45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</row>
    <row r="103" hidden="1">
      <c r="A103" s="45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</row>
    <row r="104" hidden="1">
      <c r="A104" s="45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</row>
    <row r="105" hidden="1">
      <c r="A105" s="45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</row>
    <row r="106" hidden="1">
      <c r="A106" s="45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</row>
    <row r="107" hidden="1">
      <c r="A107" s="45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</row>
    <row r="108" hidden="1">
      <c r="A108" s="45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</row>
    <row r="109" hidden="1">
      <c r="A109" s="45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</row>
    <row r="110" hidden="1">
      <c r="A110" s="45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</row>
    <row r="111" hidden="1">
      <c r="A111" s="45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</row>
    <row r="112" hidden="1">
      <c r="A112" s="45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</row>
    <row r="113" hidden="1">
      <c r="A113" s="45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</row>
    <row r="114" hidden="1">
      <c r="A114" s="45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</row>
    <row r="115" hidden="1">
      <c r="A115" s="45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</row>
    <row r="116" hidden="1">
      <c r="A116" s="45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</row>
    <row r="117" hidden="1">
      <c r="A117" s="45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 hidden="1">
      <c r="A118" s="45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</row>
    <row r="119" hidden="1">
      <c r="A119" s="45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</row>
    <row r="120" hidden="1">
      <c r="A120" s="45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</row>
    <row r="121" hidden="1">
      <c r="A121" s="45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</row>
    <row r="122" hidden="1">
      <c r="A122" s="45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 hidden="1">
      <c r="A123" s="45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 hidden="1">
      <c r="A124" s="45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</row>
    <row r="125" hidden="1">
      <c r="A125" s="45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</row>
    <row r="126" hidden="1">
      <c r="A126" s="45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</row>
    <row r="127" hidden="1">
      <c r="A127" s="45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 hidden="1">
      <c r="A128" s="45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</row>
    <row r="129" hidden="1">
      <c r="A129" s="45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</row>
    <row r="130" hidden="1">
      <c r="A130" s="45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</row>
    <row r="131" hidden="1">
      <c r="A131" s="45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</row>
    <row r="132" hidden="1">
      <c r="A132" s="45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</row>
    <row r="133" hidden="1">
      <c r="A133" s="45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</row>
    <row r="134" hidden="1">
      <c r="A134" s="45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</row>
    <row r="135" hidden="1">
      <c r="A135" s="45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</row>
    <row r="136" hidden="1">
      <c r="A136" s="45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</row>
    <row r="137" hidden="1">
      <c r="A137" s="45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</row>
    <row r="138" hidden="1">
      <c r="A138" s="45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</row>
    <row r="139" hidden="1">
      <c r="A139" s="45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</row>
    <row r="140" hidden="1">
      <c r="A140" s="45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</row>
    <row r="141" hidden="1">
      <c r="A141" s="45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</row>
    <row r="142" hidden="1">
      <c r="A142" s="45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</row>
    <row r="143" hidden="1">
      <c r="A143" s="45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</row>
    <row r="144" hidden="1">
      <c r="A144" s="45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</row>
    <row r="145" hidden="1">
      <c r="A145" s="45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</row>
    <row r="146" hidden="1">
      <c r="A146" s="45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</row>
    <row r="147" hidden="1">
      <c r="A147" s="45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</row>
    <row r="148" hidden="1">
      <c r="A148" s="45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</row>
    <row r="149" hidden="1">
      <c r="A149" s="45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</row>
    <row r="150" hidden="1">
      <c r="A150" s="45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</row>
    <row r="151" hidden="1">
      <c r="A151" s="45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</row>
    <row r="152" hidden="1">
      <c r="A152" s="45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</row>
    <row r="153" hidden="1">
      <c r="A153" s="45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</row>
    <row r="154" hidden="1">
      <c r="A154" s="45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</row>
    <row r="155" hidden="1">
      <c r="A155" s="45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</row>
    <row r="156" hidden="1">
      <c r="A156" s="45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</row>
    <row r="157" hidden="1">
      <c r="A157" s="45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</row>
    <row r="158" hidden="1">
      <c r="A158" s="45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</row>
    <row r="159" hidden="1">
      <c r="A159" s="45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</row>
    <row r="160" hidden="1">
      <c r="A160" s="45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</row>
    <row r="161" hidden="1">
      <c r="A161" s="45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</row>
    <row r="162" hidden="1">
      <c r="A162" s="45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</row>
    <row r="163" hidden="1">
      <c r="A163" s="45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</row>
    <row r="164" hidden="1">
      <c r="A164" s="45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</row>
    <row r="165" hidden="1">
      <c r="A165" s="45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</row>
    <row r="166" hidden="1">
      <c r="A166" s="45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</row>
    <row r="167" hidden="1">
      <c r="A167" s="45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</row>
    <row r="168" hidden="1">
      <c r="A168" s="45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</row>
    <row r="169" hidden="1">
      <c r="A169" s="45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</row>
    <row r="170" hidden="1">
      <c r="A170" s="45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</row>
    <row r="171" hidden="1">
      <c r="A171" s="45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</row>
    <row r="172" hidden="1">
      <c r="A172" s="45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</row>
    <row r="173" hidden="1">
      <c r="A173" s="45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</row>
    <row r="174" hidden="1">
      <c r="A174" s="45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</row>
    <row r="175" hidden="1">
      <c r="A175" s="45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</row>
    <row r="176" hidden="1">
      <c r="A176" s="45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</row>
    <row r="177" hidden="1">
      <c r="A177" s="45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</row>
    <row r="178" hidden="1">
      <c r="A178" s="45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</row>
    <row r="179" hidden="1">
      <c r="A179" s="45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</row>
    <row r="180" hidden="1">
      <c r="A180" s="45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</row>
    <row r="181" hidden="1">
      <c r="A181" s="45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</row>
    <row r="182" hidden="1">
      <c r="A182" s="45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</row>
    <row r="183" hidden="1">
      <c r="A183" s="45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</row>
    <row r="184" hidden="1">
      <c r="A184" s="45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</row>
    <row r="185" hidden="1">
      <c r="A185" s="45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</row>
    <row r="186" hidden="1">
      <c r="A186" s="45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</row>
    <row r="187" hidden="1">
      <c r="A187" s="45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</row>
    <row r="188" hidden="1">
      <c r="A188" s="45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</row>
    <row r="189" hidden="1">
      <c r="A189" s="45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</row>
    <row r="190" hidden="1">
      <c r="A190" s="45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</row>
    <row r="191" hidden="1">
      <c r="A191" s="45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</row>
    <row r="192" hidden="1">
      <c r="A192" s="45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</row>
    <row r="193" hidden="1">
      <c r="A193" s="45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</row>
    <row r="194" hidden="1">
      <c r="A194" s="45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</row>
    <row r="195" hidden="1">
      <c r="A195" s="45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</row>
    <row r="196" hidden="1">
      <c r="A196" s="45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</row>
    <row r="197" hidden="1">
      <c r="A197" s="45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</row>
    <row r="198" hidden="1">
      <c r="A198" s="45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</row>
    <row r="199" hidden="1">
      <c r="A199" s="45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</row>
    <row r="200" hidden="1">
      <c r="A200" s="45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</row>
    <row r="201" hidden="1">
      <c r="A201" s="45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</row>
    <row r="202" hidden="1">
      <c r="A202" s="45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</row>
    <row r="203" hidden="1">
      <c r="A203" s="45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</row>
    <row r="204" hidden="1">
      <c r="A204" s="45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</row>
    <row r="205" hidden="1">
      <c r="A205" s="45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</row>
    <row r="206" hidden="1">
      <c r="A206" s="45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</row>
    <row r="207" hidden="1">
      <c r="A207" s="45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</row>
    <row r="208" hidden="1">
      <c r="A208" s="45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</row>
    <row r="209" hidden="1">
      <c r="A209" s="45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</row>
    <row r="210" hidden="1">
      <c r="A210" s="45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</row>
    <row r="211" hidden="1">
      <c r="A211" s="45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</row>
    <row r="212" hidden="1">
      <c r="A212" s="45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</row>
    <row r="213" hidden="1">
      <c r="A213" s="45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</row>
    <row r="214" hidden="1">
      <c r="A214" s="45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</row>
    <row r="215" hidden="1">
      <c r="A215" s="45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</row>
    <row r="216" hidden="1">
      <c r="A216" s="45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</row>
    <row r="217" hidden="1">
      <c r="A217" s="45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</row>
    <row r="218" hidden="1">
      <c r="A218" s="45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</row>
    <row r="219" hidden="1">
      <c r="A219" s="45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</row>
    <row r="220" hidden="1">
      <c r="A220" s="45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</row>
    <row r="221" hidden="1">
      <c r="A221" s="45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</row>
    <row r="222" hidden="1">
      <c r="A222" s="45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</row>
    <row r="223" hidden="1">
      <c r="A223" s="45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</row>
    <row r="224" hidden="1">
      <c r="A224" s="45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</row>
    <row r="225" hidden="1">
      <c r="A225" s="45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</row>
    <row r="226" hidden="1">
      <c r="A226" s="45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</row>
    <row r="227" hidden="1">
      <c r="A227" s="45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</row>
    <row r="228" hidden="1">
      <c r="A228" s="45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</row>
    <row r="229" hidden="1">
      <c r="A229" s="45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</row>
    <row r="230" hidden="1">
      <c r="A230" s="45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</row>
    <row r="231" hidden="1">
      <c r="A231" s="45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</row>
    <row r="232" hidden="1">
      <c r="A232" s="45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</row>
    <row r="233" hidden="1">
      <c r="A233" s="45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</row>
    <row r="234" hidden="1">
      <c r="A234" s="45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</row>
    <row r="235" hidden="1">
      <c r="A235" s="45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</row>
    <row r="236" hidden="1">
      <c r="A236" s="45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</row>
    <row r="237" hidden="1">
      <c r="A237" s="45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</row>
    <row r="238" hidden="1">
      <c r="A238" s="45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</row>
    <row r="239" hidden="1">
      <c r="A239" s="45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</row>
    <row r="240" hidden="1">
      <c r="A240" s="45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</row>
    <row r="241" hidden="1">
      <c r="A241" s="45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</row>
    <row r="242" hidden="1">
      <c r="A242" s="45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</row>
    <row r="243" hidden="1">
      <c r="A243" s="45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</row>
    <row r="244" hidden="1">
      <c r="A244" s="45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</row>
    <row r="245" hidden="1">
      <c r="A245" s="45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</row>
    <row r="246" hidden="1">
      <c r="A246" s="45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</row>
    <row r="247" hidden="1">
      <c r="A247" s="45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</row>
    <row r="248" hidden="1">
      <c r="A248" s="45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</row>
    <row r="249" hidden="1">
      <c r="A249" s="45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</row>
    <row r="250" hidden="1">
      <c r="A250" s="45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</row>
    <row r="251" hidden="1">
      <c r="A251" s="45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</row>
    <row r="252" hidden="1">
      <c r="A252" s="45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</row>
    <row r="253" hidden="1">
      <c r="A253" s="45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</row>
    <row r="254" hidden="1">
      <c r="A254" s="45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</row>
    <row r="255" hidden="1">
      <c r="A255" s="45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</row>
    <row r="256" hidden="1">
      <c r="A256" s="45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</row>
    <row r="257" hidden="1">
      <c r="A257" s="45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</row>
    <row r="258" hidden="1">
      <c r="A258" s="45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</row>
    <row r="259" hidden="1">
      <c r="A259" s="45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</row>
    <row r="260" hidden="1">
      <c r="A260" s="45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</row>
    <row r="261" hidden="1">
      <c r="A261" s="45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</row>
    <row r="262" hidden="1">
      <c r="A262" s="45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</row>
    <row r="263" hidden="1">
      <c r="A263" s="45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</row>
    <row r="264" hidden="1">
      <c r="A264" s="45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</row>
    <row r="265" hidden="1">
      <c r="A265" s="45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</row>
    <row r="266" hidden="1">
      <c r="A266" s="45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</row>
    <row r="267" hidden="1">
      <c r="A267" s="45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</row>
    <row r="268" hidden="1">
      <c r="A268" s="45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</row>
    <row r="269" hidden="1">
      <c r="A269" s="45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</row>
    <row r="270" hidden="1">
      <c r="A270" s="45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</row>
    <row r="271" hidden="1">
      <c r="A271" s="45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</row>
    <row r="272" hidden="1">
      <c r="A272" s="45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</row>
    <row r="273" hidden="1">
      <c r="A273" s="45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</row>
    <row r="274" hidden="1">
      <c r="A274" s="45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</row>
    <row r="275" hidden="1">
      <c r="A275" s="45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</row>
    <row r="276" hidden="1">
      <c r="A276" s="45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</row>
    <row r="277" hidden="1">
      <c r="A277" s="45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</row>
    <row r="278" hidden="1">
      <c r="A278" s="45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</row>
    <row r="279" hidden="1">
      <c r="A279" s="45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</row>
    <row r="280" hidden="1">
      <c r="A280" s="45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</row>
    <row r="281" hidden="1">
      <c r="A281" s="45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</row>
    <row r="282" hidden="1">
      <c r="A282" s="45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</row>
    <row r="283" hidden="1">
      <c r="A283" s="45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</row>
    <row r="284" hidden="1">
      <c r="A284" s="45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</row>
    <row r="285" hidden="1">
      <c r="A285" s="45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</row>
    <row r="286" hidden="1">
      <c r="A286" s="45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</row>
    <row r="287" hidden="1">
      <c r="A287" s="45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</row>
    <row r="288" hidden="1">
      <c r="A288" s="45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</row>
    <row r="289" hidden="1">
      <c r="A289" s="45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</row>
    <row r="290" hidden="1">
      <c r="A290" s="45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</row>
    <row r="291" hidden="1">
      <c r="A291" s="45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</row>
    <row r="292" hidden="1">
      <c r="A292" s="45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</row>
    <row r="293" hidden="1">
      <c r="A293" s="45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</row>
    <row r="294" hidden="1">
      <c r="A294" s="45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</row>
    <row r="295" hidden="1">
      <c r="A295" s="45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</row>
    <row r="296" hidden="1">
      <c r="A296" s="45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</row>
    <row r="297" hidden="1">
      <c r="A297" s="45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</row>
    <row r="298" hidden="1">
      <c r="A298" s="45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</row>
    <row r="299" hidden="1">
      <c r="A299" s="45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</row>
    <row r="300" hidden="1">
      <c r="A300" s="45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</row>
    <row r="301" hidden="1">
      <c r="A301" s="45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</row>
    <row r="302" hidden="1">
      <c r="A302" s="45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</row>
    <row r="303" hidden="1">
      <c r="A303" s="45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</row>
    <row r="304" hidden="1">
      <c r="A304" s="45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</row>
    <row r="305" hidden="1">
      <c r="A305" s="45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</row>
    <row r="306" hidden="1">
      <c r="A306" s="45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</row>
    <row r="307" hidden="1">
      <c r="A307" s="45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</row>
    <row r="308" hidden="1">
      <c r="A308" s="45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</row>
    <row r="309" hidden="1">
      <c r="A309" s="45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</row>
    <row r="310" hidden="1">
      <c r="A310" s="45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</row>
    <row r="311" hidden="1">
      <c r="A311" s="45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</row>
    <row r="312" hidden="1">
      <c r="A312" s="45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</row>
    <row r="313" hidden="1">
      <c r="A313" s="45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</row>
    <row r="314" hidden="1">
      <c r="A314" s="45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</row>
    <row r="315" hidden="1">
      <c r="A315" s="45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</row>
    <row r="316" hidden="1">
      <c r="A316" s="45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</row>
    <row r="317" hidden="1">
      <c r="A317" s="45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</row>
    <row r="318" hidden="1">
      <c r="A318" s="45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</row>
    <row r="319" hidden="1">
      <c r="A319" s="45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</row>
    <row r="320" hidden="1">
      <c r="A320" s="45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</row>
    <row r="321" hidden="1">
      <c r="A321" s="45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</row>
    <row r="322" hidden="1">
      <c r="A322" s="45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</row>
    <row r="323" hidden="1">
      <c r="A323" s="45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</row>
    <row r="324" hidden="1">
      <c r="A324" s="45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</row>
    <row r="325" hidden="1">
      <c r="A325" s="45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</row>
    <row r="326" hidden="1">
      <c r="A326" s="45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</row>
    <row r="327" hidden="1">
      <c r="A327" s="45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</row>
    <row r="328" hidden="1">
      <c r="A328" s="45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</row>
    <row r="329" hidden="1">
      <c r="A329" s="45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</row>
    <row r="330" hidden="1">
      <c r="A330" s="45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</row>
    <row r="331" hidden="1">
      <c r="A331" s="45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</row>
    <row r="332" hidden="1">
      <c r="A332" s="45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</row>
    <row r="333" hidden="1">
      <c r="A333" s="45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</row>
    <row r="334" hidden="1">
      <c r="A334" s="45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</row>
    <row r="335" hidden="1">
      <c r="A335" s="45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</row>
    <row r="336" hidden="1">
      <c r="A336" s="45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</row>
    <row r="337" hidden="1">
      <c r="A337" s="45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</row>
    <row r="338" hidden="1">
      <c r="A338" s="45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</row>
    <row r="339" hidden="1">
      <c r="A339" s="45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</row>
    <row r="340" hidden="1">
      <c r="A340" s="45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</row>
    <row r="341" hidden="1">
      <c r="A341" s="45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</row>
    <row r="342" hidden="1">
      <c r="A342" s="45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</row>
    <row r="343" hidden="1">
      <c r="A343" s="45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</row>
    <row r="344" hidden="1">
      <c r="A344" s="45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</row>
    <row r="345" hidden="1">
      <c r="A345" s="45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</row>
    <row r="346" hidden="1">
      <c r="A346" s="45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</row>
    <row r="347" hidden="1">
      <c r="A347" s="45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</row>
    <row r="348" hidden="1">
      <c r="A348" s="45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</row>
    <row r="349" hidden="1">
      <c r="A349" s="45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</row>
    <row r="350" hidden="1">
      <c r="A350" s="45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</row>
    <row r="351" hidden="1">
      <c r="A351" s="45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</row>
    <row r="352" hidden="1">
      <c r="A352" s="45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</row>
    <row r="353" hidden="1">
      <c r="A353" s="45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</row>
    <row r="354" hidden="1">
      <c r="A354" s="45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</row>
    <row r="355" hidden="1">
      <c r="A355" s="45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</row>
    <row r="356" hidden="1">
      <c r="A356" s="45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</row>
    <row r="357" hidden="1">
      <c r="A357" s="45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</row>
    <row r="358" hidden="1">
      <c r="A358" s="45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</row>
    <row r="359" hidden="1">
      <c r="A359" s="45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</row>
    <row r="360" hidden="1">
      <c r="A360" s="45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</row>
    <row r="361" hidden="1">
      <c r="A361" s="45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</row>
    <row r="362" hidden="1">
      <c r="A362" s="45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</row>
    <row r="363" hidden="1">
      <c r="A363" s="45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</row>
    <row r="364" hidden="1">
      <c r="A364" s="45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</row>
    <row r="365" hidden="1">
      <c r="A365" s="45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</row>
    <row r="366" hidden="1">
      <c r="A366" s="45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</row>
    <row r="367" hidden="1">
      <c r="A367" s="45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</row>
    <row r="368" hidden="1">
      <c r="A368" s="45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</row>
    <row r="369" hidden="1">
      <c r="A369" s="45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</row>
    <row r="370" hidden="1">
      <c r="A370" s="45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</row>
    <row r="371" hidden="1">
      <c r="A371" s="45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</row>
    <row r="372" hidden="1">
      <c r="A372" s="45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</row>
    <row r="373" hidden="1">
      <c r="A373" s="45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</row>
    <row r="374" hidden="1">
      <c r="A374" s="45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</row>
    <row r="375" hidden="1">
      <c r="A375" s="45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</row>
    <row r="376" hidden="1">
      <c r="A376" s="45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</row>
    <row r="377" hidden="1">
      <c r="A377" s="45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</row>
    <row r="378" hidden="1">
      <c r="A378" s="45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</row>
    <row r="379" hidden="1">
      <c r="A379" s="45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</row>
    <row r="380" hidden="1">
      <c r="A380" s="45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</row>
    <row r="381" hidden="1">
      <c r="A381" s="45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</row>
    <row r="382" hidden="1">
      <c r="A382" s="45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</row>
    <row r="383" hidden="1">
      <c r="A383" s="45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</row>
    <row r="384" hidden="1">
      <c r="A384" s="45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</row>
    <row r="385" hidden="1">
      <c r="A385" s="45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</row>
    <row r="386" hidden="1">
      <c r="A386" s="45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</row>
    <row r="387" hidden="1">
      <c r="A387" s="45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</row>
    <row r="388" hidden="1">
      <c r="A388" s="45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</row>
    <row r="389" hidden="1">
      <c r="A389" s="45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</row>
    <row r="390" hidden="1">
      <c r="A390" s="45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</row>
    <row r="391" hidden="1">
      <c r="A391" s="45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</row>
    <row r="392" hidden="1">
      <c r="A392" s="45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</row>
    <row r="393" hidden="1">
      <c r="A393" s="45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</row>
    <row r="394" hidden="1">
      <c r="A394" s="45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</row>
    <row r="395" hidden="1">
      <c r="A395" s="45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</row>
    <row r="396" hidden="1">
      <c r="A396" s="45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</row>
    <row r="397" hidden="1">
      <c r="A397" s="45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</row>
    <row r="398" hidden="1">
      <c r="A398" s="45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</row>
    <row r="399" hidden="1">
      <c r="A399" s="45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</row>
    <row r="400" hidden="1">
      <c r="A400" s="45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</row>
    <row r="401" hidden="1">
      <c r="A401" s="45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</row>
    <row r="402" hidden="1">
      <c r="A402" s="45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</row>
    <row r="403" hidden="1">
      <c r="A403" s="45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</row>
    <row r="404" hidden="1">
      <c r="A404" s="45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</row>
    <row r="405" hidden="1">
      <c r="A405" s="45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</row>
    <row r="406" hidden="1">
      <c r="A406" s="45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</row>
    <row r="407" hidden="1">
      <c r="A407" s="45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</row>
    <row r="408" hidden="1">
      <c r="A408" s="45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</row>
    <row r="409" hidden="1">
      <c r="A409" s="45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</row>
    <row r="410" hidden="1">
      <c r="A410" s="45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</row>
    <row r="411" hidden="1">
      <c r="A411" s="45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</row>
    <row r="412" hidden="1">
      <c r="A412" s="45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</row>
    <row r="413" hidden="1">
      <c r="A413" s="45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</row>
    <row r="414" hidden="1">
      <c r="A414" s="45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</row>
    <row r="415" hidden="1">
      <c r="A415" s="45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</row>
    <row r="416" hidden="1">
      <c r="A416" s="45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</row>
    <row r="417" hidden="1">
      <c r="A417" s="45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</row>
    <row r="418" hidden="1">
      <c r="A418" s="45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</row>
    <row r="419" hidden="1">
      <c r="A419" s="45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</row>
    <row r="420" hidden="1">
      <c r="A420" s="45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</row>
    <row r="421" hidden="1">
      <c r="A421" s="45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</row>
    <row r="422" hidden="1">
      <c r="A422" s="45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</row>
    <row r="423" hidden="1">
      <c r="A423" s="45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</row>
    <row r="424" hidden="1">
      <c r="A424" s="45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</row>
    <row r="425" hidden="1">
      <c r="A425" s="45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</row>
    <row r="426" hidden="1">
      <c r="A426" s="45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</row>
    <row r="427" hidden="1">
      <c r="A427" s="45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</row>
    <row r="428" hidden="1">
      <c r="A428" s="45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</row>
    <row r="429" hidden="1">
      <c r="A429" s="45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</row>
    <row r="430" hidden="1">
      <c r="A430" s="45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</row>
    <row r="431" hidden="1">
      <c r="A431" s="45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</row>
    <row r="432" hidden="1">
      <c r="A432" s="45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</row>
    <row r="433" hidden="1">
      <c r="A433" s="45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</row>
    <row r="434" hidden="1">
      <c r="A434" s="45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</row>
    <row r="435" hidden="1">
      <c r="A435" s="45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</row>
    <row r="436" hidden="1">
      <c r="A436" s="45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</row>
    <row r="437" hidden="1">
      <c r="A437" s="45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</row>
    <row r="438" hidden="1">
      <c r="A438" s="45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</row>
    <row r="439" hidden="1">
      <c r="A439" s="45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</row>
    <row r="440" hidden="1">
      <c r="A440" s="45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</row>
    <row r="441" hidden="1">
      <c r="A441" s="45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</row>
    <row r="442" hidden="1">
      <c r="A442" s="45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</row>
    <row r="443" hidden="1">
      <c r="A443" s="45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</row>
    <row r="444" hidden="1">
      <c r="A444" s="45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</row>
    <row r="445" hidden="1">
      <c r="A445" s="45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</row>
    <row r="446" hidden="1">
      <c r="A446" s="45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</row>
    <row r="447" hidden="1">
      <c r="A447" s="45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</row>
    <row r="448" hidden="1">
      <c r="A448" s="45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</row>
    <row r="449" hidden="1">
      <c r="A449" s="45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</row>
    <row r="450" hidden="1">
      <c r="A450" s="45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</row>
    <row r="451" hidden="1">
      <c r="A451" s="45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</row>
    <row r="452" hidden="1">
      <c r="A452" s="45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</row>
    <row r="453" hidden="1">
      <c r="A453" s="45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</row>
    <row r="454" hidden="1">
      <c r="A454" s="45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</row>
    <row r="455" hidden="1">
      <c r="A455" s="45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</row>
    <row r="456" hidden="1">
      <c r="A456" s="45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</row>
    <row r="457" hidden="1">
      <c r="A457" s="45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</row>
    <row r="458" hidden="1">
      <c r="A458" s="45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</row>
    <row r="459" hidden="1">
      <c r="A459" s="45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</row>
    <row r="460" hidden="1">
      <c r="A460" s="45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</row>
    <row r="461" hidden="1">
      <c r="A461" s="45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</row>
    <row r="462" hidden="1">
      <c r="A462" s="45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</row>
    <row r="463" hidden="1">
      <c r="A463" s="45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</row>
    <row r="464" hidden="1">
      <c r="A464" s="45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</row>
    <row r="465" hidden="1">
      <c r="A465" s="45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</row>
    <row r="466" hidden="1">
      <c r="A466" s="45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</row>
    <row r="467" hidden="1">
      <c r="A467" s="45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</row>
    <row r="468" hidden="1">
      <c r="A468" s="45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</row>
    <row r="469" hidden="1">
      <c r="A469" s="45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</row>
    <row r="470" hidden="1">
      <c r="A470" s="45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</row>
    <row r="471" hidden="1">
      <c r="A471" s="45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</row>
    <row r="472" hidden="1">
      <c r="A472" s="45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</row>
    <row r="473" hidden="1">
      <c r="A473" s="45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</row>
    <row r="474" hidden="1">
      <c r="A474" s="45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</row>
    <row r="475" hidden="1">
      <c r="A475" s="45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</row>
    <row r="476" hidden="1">
      <c r="A476" s="45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</row>
    <row r="477" hidden="1">
      <c r="A477" s="45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</row>
    <row r="478" hidden="1">
      <c r="A478" s="45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</row>
    <row r="479" hidden="1">
      <c r="A479" s="45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</row>
    <row r="480" hidden="1">
      <c r="A480" s="45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</row>
    <row r="481" hidden="1">
      <c r="A481" s="45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</row>
    <row r="482" hidden="1">
      <c r="A482" s="45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</row>
    <row r="483" hidden="1">
      <c r="A483" s="45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</row>
    <row r="484" hidden="1">
      <c r="A484" s="45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</row>
    <row r="485" hidden="1">
      <c r="A485" s="45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</row>
    <row r="486" hidden="1">
      <c r="A486" s="45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</row>
    <row r="487" hidden="1">
      <c r="A487" s="45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</row>
    <row r="488" hidden="1">
      <c r="A488" s="45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</row>
    <row r="489" hidden="1">
      <c r="A489" s="45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</row>
    <row r="490" hidden="1">
      <c r="A490" s="45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</row>
    <row r="491" hidden="1">
      <c r="A491" s="45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</row>
    <row r="492" hidden="1">
      <c r="A492" s="45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</row>
    <row r="493" hidden="1">
      <c r="A493" s="45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</row>
    <row r="494" hidden="1">
      <c r="A494" s="45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</row>
    <row r="495" hidden="1">
      <c r="A495" s="45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</row>
    <row r="496" hidden="1">
      <c r="A496" s="45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</row>
    <row r="497" hidden="1">
      <c r="A497" s="45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</row>
    <row r="498" hidden="1">
      <c r="A498" s="45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</row>
    <row r="499" hidden="1">
      <c r="A499" s="45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</row>
    <row r="500" hidden="1">
      <c r="A500" s="45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</row>
    <row r="501" hidden="1">
      <c r="A501" s="45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</row>
    <row r="502" hidden="1">
      <c r="A502" s="45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</row>
    <row r="503" hidden="1">
      <c r="A503" s="45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</row>
    <row r="504" hidden="1">
      <c r="A504" s="45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</row>
    <row r="505" hidden="1">
      <c r="A505" s="45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</row>
    <row r="506" hidden="1">
      <c r="A506" s="45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</row>
    <row r="507" hidden="1">
      <c r="A507" s="45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</row>
    <row r="508" hidden="1">
      <c r="A508" s="45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</row>
    <row r="509" hidden="1">
      <c r="A509" s="45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</row>
    <row r="510" hidden="1">
      <c r="A510" s="45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</row>
    <row r="511" hidden="1">
      <c r="A511" s="45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</row>
    <row r="512" hidden="1">
      <c r="A512" s="45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</row>
    <row r="513" hidden="1">
      <c r="A513" s="45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</row>
    <row r="514" hidden="1">
      <c r="A514" s="45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</row>
    <row r="515" hidden="1">
      <c r="A515" s="45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</row>
    <row r="516" hidden="1">
      <c r="A516" s="45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</row>
    <row r="517" hidden="1">
      <c r="A517" s="45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</row>
    <row r="518" hidden="1">
      <c r="A518" s="45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</row>
    <row r="519" hidden="1">
      <c r="A519" s="45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</row>
    <row r="520" hidden="1">
      <c r="A520" s="45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</row>
    <row r="521" hidden="1">
      <c r="A521" s="45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</row>
    <row r="522" hidden="1">
      <c r="A522" s="45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</row>
    <row r="523" hidden="1">
      <c r="A523" s="45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</row>
    <row r="524" hidden="1">
      <c r="A524" s="45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</row>
    <row r="525" hidden="1">
      <c r="A525" s="45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</row>
    <row r="526" hidden="1">
      <c r="A526" s="45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</row>
    <row r="527" hidden="1">
      <c r="A527" s="45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</row>
    <row r="528" hidden="1">
      <c r="A528" s="45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</row>
    <row r="529" hidden="1">
      <c r="A529" s="45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</row>
    <row r="530" hidden="1">
      <c r="A530" s="45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</row>
    <row r="531" hidden="1">
      <c r="A531" s="45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</row>
    <row r="532" hidden="1">
      <c r="A532" s="45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</row>
    <row r="533" hidden="1">
      <c r="A533" s="45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</row>
    <row r="534" hidden="1">
      <c r="A534" s="45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</row>
    <row r="535" hidden="1">
      <c r="A535" s="45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</row>
    <row r="536" hidden="1">
      <c r="A536" s="45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</row>
    <row r="537" hidden="1">
      <c r="A537" s="45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</row>
    <row r="538" hidden="1">
      <c r="A538" s="45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</row>
    <row r="539" hidden="1">
      <c r="A539" s="45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</row>
    <row r="540" hidden="1">
      <c r="A540" s="45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</row>
    <row r="541" hidden="1">
      <c r="A541" s="45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</row>
    <row r="542" hidden="1">
      <c r="A542" s="45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</row>
    <row r="543" hidden="1">
      <c r="A543" s="45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</row>
    <row r="544" hidden="1">
      <c r="A544" s="45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</row>
    <row r="545" hidden="1">
      <c r="A545" s="45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</row>
    <row r="546" hidden="1">
      <c r="A546" s="45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</row>
    <row r="547" hidden="1">
      <c r="A547" s="45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</row>
    <row r="548" hidden="1">
      <c r="A548" s="45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</row>
    <row r="549" hidden="1">
      <c r="A549" s="45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</row>
    <row r="550" hidden="1">
      <c r="A550" s="45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</row>
    <row r="551" hidden="1">
      <c r="A551" s="45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</row>
    <row r="552" hidden="1">
      <c r="A552" s="45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</row>
    <row r="553" hidden="1">
      <c r="A553" s="45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</row>
    <row r="554" hidden="1">
      <c r="A554" s="45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</row>
    <row r="555" hidden="1">
      <c r="A555" s="45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</row>
    <row r="556" hidden="1">
      <c r="A556" s="45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</row>
    <row r="557" hidden="1">
      <c r="A557" s="45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</row>
    <row r="558" hidden="1">
      <c r="A558" s="45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</row>
    <row r="559" hidden="1">
      <c r="A559" s="45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</row>
    <row r="560" hidden="1">
      <c r="A560" s="45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</row>
    <row r="561" hidden="1">
      <c r="A561" s="45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</row>
    <row r="562" hidden="1">
      <c r="A562" s="45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</row>
    <row r="563" hidden="1">
      <c r="A563" s="45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</row>
    <row r="564" hidden="1">
      <c r="A564" s="45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</row>
    <row r="565" hidden="1">
      <c r="A565" s="45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</row>
    <row r="566" hidden="1">
      <c r="A566" s="45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</row>
    <row r="567" hidden="1">
      <c r="A567" s="45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</row>
    <row r="568" hidden="1">
      <c r="A568" s="45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</row>
    <row r="569" hidden="1">
      <c r="A569" s="45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</row>
    <row r="570" hidden="1">
      <c r="A570" s="45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</row>
    <row r="571" hidden="1">
      <c r="A571" s="45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</row>
    <row r="572" hidden="1">
      <c r="A572" s="45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</row>
    <row r="573" hidden="1">
      <c r="A573" s="45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</row>
    <row r="574" hidden="1">
      <c r="A574" s="45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</row>
    <row r="575" hidden="1">
      <c r="A575" s="45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</row>
    <row r="576" hidden="1">
      <c r="A576" s="45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</row>
    <row r="577" hidden="1">
      <c r="A577" s="45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</row>
    <row r="578" hidden="1">
      <c r="A578" s="45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</row>
    <row r="579" hidden="1">
      <c r="A579" s="45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</row>
    <row r="580" hidden="1">
      <c r="A580" s="45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</row>
    <row r="581" hidden="1">
      <c r="A581" s="45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</row>
    <row r="582" hidden="1">
      <c r="A582" s="45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</row>
    <row r="583" hidden="1">
      <c r="A583" s="45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</row>
    <row r="584" hidden="1">
      <c r="A584" s="45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</row>
    <row r="585" hidden="1">
      <c r="A585" s="45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</row>
    <row r="586" hidden="1">
      <c r="A586" s="45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</row>
    <row r="587" hidden="1">
      <c r="A587" s="45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</row>
    <row r="588" hidden="1">
      <c r="A588" s="45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</row>
    <row r="589" hidden="1">
      <c r="A589" s="45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</row>
    <row r="590" hidden="1">
      <c r="A590" s="45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</row>
    <row r="591" hidden="1">
      <c r="A591" s="45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</row>
    <row r="592" hidden="1">
      <c r="A592" s="45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</row>
    <row r="593" hidden="1">
      <c r="A593" s="45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</row>
    <row r="594" hidden="1">
      <c r="A594" s="45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</row>
    <row r="595" hidden="1">
      <c r="A595" s="45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</row>
    <row r="596" hidden="1">
      <c r="A596" s="45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</row>
    <row r="597" hidden="1">
      <c r="A597" s="45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</row>
    <row r="598" hidden="1">
      <c r="A598" s="45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</row>
    <row r="599" hidden="1">
      <c r="A599" s="45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</row>
    <row r="600" hidden="1">
      <c r="A600" s="45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</row>
    <row r="601" hidden="1">
      <c r="A601" s="45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</row>
    <row r="602" hidden="1">
      <c r="A602" s="45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</row>
    <row r="603" hidden="1">
      <c r="A603" s="45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</row>
    <row r="604" hidden="1">
      <c r="A604" s="45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</row>
    <row r="605" hidden="1">
      <c r="A605" s="45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</row>
    <row r="606" hidden="1">
      <c r="A606" s="45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</row>
    <row r="607" hidden="1">
      <c r="A607" s="45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</row>
    <row r="608" hidden="1">
      <c r="A608" s="45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</row>
    <row r="609" hidden="1">
      <c r="A609" s="45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</row>
    <row r="610" hidden="1">
      <c r="A610" s="45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</row>
    <row r="611" hidden="1">
      <c r="A611" s="45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</row>
    <row r="612" hidden="1">
      <c r="A612" s="45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</row>
    <row r="613" hidden="1">
      <c r="A613" s="45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</row>
    <row r="614" hidden="1">
      <c r="A614" s="45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</row>
    <row r="615" hidden="1">
      <c r="A615" s="45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</row>
    <row r="616" hidden="1">
      <c r="A616" s="45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</row>
    <row r="617" hidden="1">
      <c r="A617" s="45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</row>
    <row r="618" hidden="1">
      <c r="A618" s="45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</row>
    <row r="619" hidden="1">
      <c r="A619" s="45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</row>
    <row r="620" hidden="1">
      <c r="A620" s="45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</row>
    <row r="621" hidden="1">
      <c r="A621" s="45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</row>
    <row r="622" hidden="1">
      <c r="A622" s="45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</row>
    <row r="623" hidden="1">
      <c r="A623" s="45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</row>
    <row r="624" hidden="1">
      <c r="A624" s="45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</row>
    <row r="625" hidden="1">
      <c r="A625" s="45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</row>
    <row r="626" hidden="1">
      <c r="A626" s="45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</row>
    <row r="627" hidden="1">
      <c r="A627" s="45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</row>
    <row r="628" hidden="1">
      <c r="A628" s="45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</row>
    <row r="629" hidden="1">
      <c r="A629" s="45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</row>
    <row r="630" hidden="1">
      <c r="A630" s="45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</row>
    <row r="631" hidden="1">
      <c r="A631" s="45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</row>
    <row r="632" hidden="1">
      <c r="A632" s="45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</row>
    <row r="633" hidden="1">
      <c r="A633" s="45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</row>
    <row r="634" hidden="1">
      <c r="A634" s="45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</row>
    <row r="635" hidden="1">
      <c r="A635" s="45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</row>
    <row r="636" hidden="1">
      <c r="A636" s="45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</row>
    <row r="637" hidden="1">
      <c r="A637" s="45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</row>
    <row r="638" hidden="1">
      <c r="A638" s="45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</row>
    <row r="639" hidden="1">
      <c r="A639" s="45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</row>
    <row r="640" hidden="1">
      <c r="A640" s="45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</row>
    <row r="641" hidden="1">
      <c r="A641" s="45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</row>
    <row r="642" hidden="1">
      <c r="A642" s="45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</row>
    <row r="643" hidden="1">
      <c r="A643" s="45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</row>
    <row r="644" hidden="1">
      <c r="A644" s="45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</row>
    <row r="645" hidden="1">
      <c r="A645" s="45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</row>
    <row r="646" hidden="1">
      <c r="A646" s="45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</row>
    <row r="647" hidden="1">
      <c r="A647" s="45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</row>
    <row r="648" hidden="1">
      <c r="A648" s="45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</row>
    <row r="649" hidden="1">
      <c r="A649" s="45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</row>
    <row r="650" hidden="1">
      <c r="A650" s="45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</row>
    <row r="651" hidden="1">
      <c r="A651" s="45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</row>
    <row r="652" hidden="1">
      <c r="A652" s="45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</row>
    <row r="653" hidden="1">
      <c r="A653" s="45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</row>
    <row r="654" hidden="1">
      <c r="A654" s="45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</row>
    <row r="655" hidden="1">
      <c r="A655" s="45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</row>
    <row r="656" hidden="1">
      <c r="A656" s="45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</row>
    <row r="657" hidden="1">
      <c r="A657" s="45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</row>
    <row r="658" hidden="1">
      <c r="A658" s="45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</row>
    <row r="659" hidden="1">
      <c r="A659" s="45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</row>
    <row r="660" hidden="1">
      <c r="A660" s="45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</row>
    <row r="661" hidden="1">
      <c r="A661" s="45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</row>
    <row r="662" hidden="1">
      <c r="A662" s="45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</row>
    <row r="663" hidden="1">
      <c r="A663" s="45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</row>
    <row r="664" hidden="1">
      <c r="A664" s="45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</row>
    <row r="665" hidden="1">
      <c r="A665" s="45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</row>
    <row r="666" hidden="1">
      <c r="A666" s="45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</row>
    <row r="667" hidden="1">
      <c r="A667" s="45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</row>
    <row r="668" hidden="1">
      <c r="A668" s="45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</row>
    <row r="669" hidden="1">
      <c r="A669" s="45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</row>
    <row r="670" hidden="1">
      <c r="A670" s="45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</row>
    <row r="671" hidden="1">
      <c r="A671" s="45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</row>
    <row r="672" hidden="1">
      <c r="A672" s="45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</row>
    <row r="673" hidden="1">
      <c r="A673" s="45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</row>
    <row r="674" hidden="1">
      <c r="A674" s="45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</row>
    <row r="675" hidden="1">
      <c r="A675" s="45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</row>
    <row r="676" hidden="1">
      <c r="A676" s="45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</row>
    <row r="677" hidden="1">
      <c r="A677" s="45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</row>
    <row r="678" hidden="1">
      <c r="A678" s="45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</row>
    <row r="679" hidden="1">
      <c r="A679" s="45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</row>
    <row r="680" hidden="1">
      <c r="A680" s="45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</row>
    <row r="681" hidden="1">
      <c r="A681" s="45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</row>
    <row r="682" hidden="1">
      <c r="A682" s="45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</row>
    <row r="683" hidden="1">
      <c r="A683" s="45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</row>
    <row r="684" hidden="1">
      <c r="A684" s="45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</row>
    <row r="685" hidden="1">
      <c r="A685" s="45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</row>
    <row r="686" hidden="1">
      <c r="A686" s="45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</row>
    <row r="687" hidden="1">
      <c r="A687" s="45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</row>
    <row r="688" hidden="1">
      <c r="A688" s="45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</row>
    <row r="689" hidden="1">
      <c r="A689" s="45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</row>
    <row r="690" hidden="1">
      <c r="A690" s="45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</row>
    <row r="691" hidden="1">
      <c r="A691" s="45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</row>
    <row r="692" hidden="1">
      <c r="A692" s="45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</row>
    <row r="693" hidden="1">
      <c r="A693" s="45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</row>
    <row r="694" hidden="1">
      <c r="A694" s="45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</row>
    <row r="695" hidden="1">
      <c r="A695" s="45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</row>
    <row r="696" hidden="1">
      <c r="A696" s="45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</row>
    <row r="697" hidden="1">
      <c r="A697" s="45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</row>
    <row r="698" hidden="1">
      <c r="A698" s="45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</row>
    <row r="699" hidden="1">
      <c r="A699" s="45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</row>
    <row r="700" hidden="1">
      <c r="A700" s="45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</row>
    <row r="701" hidden="1">
      <c r="A701" s="45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</row>
    <row r="702" hidden="1">
      <c r="A702" s="45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</row>
    <row r="703" hidden="1">
      <c r="A703" s="45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</row>
    <row r="704" hidden="1">
      <c r="A704" s="45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</row>
    <row r="705" hidden="1">
      <c r="A705" s="45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</row>
    <row r="706" hidden="1">
      <c r="A706" s="45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</row>
    <row r="707" hidden="1">
      <c r="A707" s="45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</row>
    <row r="708" hidden="1">
      <c r="A708" s="45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</row>
    <row r="709" hidden="1">
      <c r="A709" s="45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</row>
    <row r="710" hidden="1">
      <c r="A710" s="45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</row>
    <row r="711" hidden="1">
      <c r="A711" s="45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hidden="1" min="8" max="26" width="12.63"/>
  </cols>
  <sheetData>
    <row r="1">
      <c r="A1" s="46" t="s">
        <v>92</v>
      </c>
      <c r="B1" s="47" t="s">
        <v>110</v>
      </c>
      <c r="C1" s="46" t="s">
        <v>111</v>
      </c>
      <c r="D1" s="47" t="s">
        <v>112</v>
      </c>
      <c r="E1" s="47" t="s">
        <v>113</v>
      </c>
      <c r="F1" s="47" t="s">
        <v>114</v>
      </c>
      <c r="G1" s="48" t="s">
        <v>115</v>
      </c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49" t="s">
        <v>116</v>
      </c>
      <c r="B2" s="49" t="s">
        <v>104</v>
      </c>
      <c r="C2" s="50">
        <v>800.0</v>
      </c>
      <c r="D2" s="51">
        <v>450.0</v>
      </c>
      <c r="E2" s="52">
        <v>105.0</v>
      </c>
      <c r="F2" s="53">
        <v>800.0</v>
      </c>
      <c r="G2" s="54">
        <v>1.2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5" t="s">
        <v>102</v>
      </c>
      <c r="B3" s="50" t="s">
        <v>104</v>
      </c>
      <c r="C3" s="50">
        <v>800.0</v>
      </c>
      <c r="D3" s="51">
        <v>465.0</v>
      </c>
      <c r="E3" s="52">
        <v>110.0</v>
      </c>
      <c r="F3" s="53">
        <v>900.0</v>
      </c>
      <c r="G3" s="54">
        <v>1.2</v>
      </c>
      <c r="H3" s="31"/>
      <c r="I3" s="49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55" t="s">
        <v>95</v>
      </c>
      <c r="B4" s="50" t="s">
        <v>104</v>
      </c>
      <c r="C4" s="50">
        <v>700.0</v>
      </c>
      <c r="D4" s="51">
        <v>360.0</v>
      </c>
      <c r="E4" s="52">
        <v>115.0</v>
      </c>
      <c r="F4" s="53">
        <v>900.0</v>
      </c>
      <c r="G4" s="54">
        <v>1.2</v>
      </c>
      <c r="H4" s="31"/>
      <c r="I4" s="55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49" t="s">
        <v>116</v>
      </c>
      <c r="B5" s="55" t="s">
        <v>93</v>
      </c>
      <c r="C5" s="52">
        <v>1150.0</v>
      </c>
      <c r="D5" s="51">
        <v>450.0</v>
      </c>
      <c r="E5" s="52">
        <v>105.0</v>
      </c>
      <c r="F5" s="53">
        <v>1200.0</v>
      </c>
      <c r="G5" s="54">
        <v>1.2</v>
      </c>
      <c r="H5" s="31"/>
      <c r="I5" s="55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55" t="s">
        <v>102</v>
      </c>
      <c r="B6" s="55" t="s">
        <v>93</v>
      </c>
      <c r="C6" s="52">
        <v>1150.0</v>
      </c>
      <c r="D6" s="51">
        <v>465.0</v>
      </c>
      <c r="E6" s="52">
        <v>110.0</v>
      </c>
      <c r="F6" s="53">
        <v>1100.0</v>
      </c>
      <c r="G6" s="54">
        <v>1.2</v>
      </c>
      <c r="H6" s="31"/>
      <c r="I6" s="31"/>
      <c r="J6" s="49"/>
      <c r="K6" s="49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55" t="s">
        <v>95</v>
      </c>
      <c r="B7" s="55" t="s">
        <v>93</v>
      </c>
      <c r="C7" s="52">
        <v>1000.0</v>
      </c>
      <c r="D7" s="51">
        <v>360.0</v>
      </c>
      <c r="E7" s="52">
        <v>115.0</v>
      </c>
      <c r="F7" s="53">
        <v>1100.0</v>
      </c>
      <c r="G7" s="54">
        <v>1.2</v>
      </c>
      <c r="H7" s="31"/>
      <c r="I7" s="31"/>
      <c r="J7" s="55"/>
      <c r="K7" s="55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49" t="s">
        <v>116</v>
      </c>
      <c r="B8" s="50" t="s">
        <v>107</v>
      </c>
      <c r="C8" s="50">
        <v>800.0</v>
      </c>
      <c r="D8" s="51">
        <v>450.0</v>
      </c>
      <c r="E8" s="52">
        <v>105.0</v>
      </c>
      <c r="F8" s="53">
        <v>800.0</v>
      </c>
      <c r="G8" s="54">
        <v>1.2</v>
      </c>
      <c r="H8" s="31"/>
      <c r="I8" s="31"/>
      <c r="J8" s="55"/>
      <c r="K8" s="55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55" t="s">
        <v>102</v>
      </c>
      <c r="B9" s="50" t="s">
        <v>107</v>
      </c>
      <c r="C9" s="50">
        <v>800.0</v>
      </c>
      <c r="D9" s="51">
        <v>465.0</v>
      </c>
      <c r="E9" s="52">
        <v>110.0</v>
      </c>
      <c r="F9" s="53">
        <v>900.0</v>
      </c>
      <c r="G9" s="54">
        <v>1.2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55" t="s">
        <v>95</v>
      </c>
      <c r="B10" s="50" t="s">
        <v>107</v>
      </c>
      <c r="C10" s="50">
        <v>600.0</v>
      </c>
      <c r="D10" s="51">
        <v>360.0</v>
      </c>
      <c r="E10" s="52">
        <v>115.0</v>
      </c>
      <c r="F10" s="53">
        <v>900.0</v>
      </c>
      <c r="G10" s="54">
        <v>1.2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49" t="s">
        <v>116</v>
      </c>
      <c r="B11" s="50" t="s">
        <v>109</v>
      </c>
      <c r="C11" s="50">
        <v>800.0</v>
      </c>
      <c r="D11" s="51">
        <v>450.0</v>
      </c>
      <c r="E11" s="52">
        <v>105.0</v>
      </c>
      <c r="F11" s="53">
        <v>800.0</v>
      </c>
      <c r="G11" s="54">
        <v>1.2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55" t="s">
        <v>102</v>
      </c>
      <c r="B12" s="50" t="s">
        <v>109</v>
      </c>
      <c r="C12" s="50">
        <v>800.0</v>
      </c>
      <c r="D12" s="51">
        <v>465.0</v>
      </c>
      <c r="E12" s="52">
        <v>110.0</v>
      </c>
      <c r="F12" s="53">
        <v>900.0</v>
      </c>
      <c r="G12" s="54">
        <v>1.2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55" t="s">
        <v>95</v>
      </c>
      <c r="B13" s="50" t="s">
        <v>109</v>
      </c>
      <c r="C13" s="50">
        <v>600.0</v>
      </c>
      <c r="D13" s="51">
        <v>360.0</v>
      </c>
      <c r="E13" s="52">
        <v>115.0</v>
      </c>
      <c r="F13" s="53">
        <v>900.0</v>
      </c>
      <c r="G13" s="54">
        <v>1.2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49" t="s">
        <v>116</v>
      </c>
      <c r="B14" s="55" t="s">
        <v>105</v>
      </c>
      <c r="C14" s="50">
        <v>1000.0</v>
      </c>
      <c r="D14" s="51">
        <v>450.0</v>
      </c>
      <c r="E14" s="52">
        <v>105.0</v>
      </c>
      <c r="F14" s="53">
        <v>800.0</v>
      </c>
      <c r="G14" s="54">
        <v>1.2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55" t="s">
        <v>102</v>
      </c>
      <c r="B15" s="55" t="s">
        <v>105</v>
      </c>
      <c r="C15" s="50">
        <v>1000.0</v>
      </c>
      <c r="D15" s="51">
        <v>465.0</v>
      </c>
      <c r="E15" s="52">
        <v>110.0</v>
      </c>
      <c r="F15" s="53">
        <v>900.0</v>
      </c>
      <c r="G15" s="54">
        <v>1.2</v>
      </c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55" t="s">
        <v>95</v>
      </c>
      <c r="B16" s="55" t="s">
        <v>105</v>
      </c>
      <c r="C16" s="50">
        <v>800.0</v>
      </c>
      <c r="D16" s="51">
        <v>360.0</v>
      </c>
      <c r="E16" s="52">
        <v>115.0</v>
      </c>
      <c r="F16" s="53">
        <v>900.0</v>
      </c>
      <c r="G16" s="54">
        <v>1.2</v>
      </c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idden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idden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idden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idden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idden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idden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idden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idden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idden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idden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idden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idden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idden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idden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idden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idden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idden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idden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idden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idden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idden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idden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idden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idden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idden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idden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idden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idden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idden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idden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idden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idden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idden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idden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idden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idden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idden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idden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idden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idden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idden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idden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idden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idden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idden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idden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idden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idden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idden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idden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idden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idden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idden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idden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idden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idden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idden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idden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idden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idden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idden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idden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idden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idden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idden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idden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idden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idden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idden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idden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idden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idden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idden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idden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idden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idden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idden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idden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idden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idden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idden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idden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idden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idden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idden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idden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idden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idden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idden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idden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idden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idden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idden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idden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idden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idden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idden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idden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idden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idden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idden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idden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idden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idden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idden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idden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idden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idden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idden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idden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idden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idden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idden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idden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idden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idden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idden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idden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idden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idden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idden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idden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idden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idden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idden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idden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idden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idden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idden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idden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idden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idden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idden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idden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idden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idden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idden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idden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idden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idden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idden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idden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idden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idden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idden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idden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idden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idden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idden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idden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idden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idden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idden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idden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idden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idden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idden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idden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idden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idden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idden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idden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idden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idden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idden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idden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idden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idden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idden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idden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idden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idden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idden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idden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idden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idden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idden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idden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idden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idden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idden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idden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idden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idden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idden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idden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idden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idden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idden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idden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idden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idden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idden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idden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idden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idden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idden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idden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idden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idden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idden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idden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idden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idden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idden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idden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idden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idden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idden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idden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idden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idden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idden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idden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idden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idden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idden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idden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idden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idden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idden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idden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idden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idden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idden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idden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idden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idden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idden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idden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idden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idden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idden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idden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idden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idden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idden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idden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idden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idden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idden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idden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idden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idden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idden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idden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idden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idden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idden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idden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idden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idden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idden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idden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idden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idden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idden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idden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idden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idden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idden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idden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idden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idden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idden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idden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idden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idden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idden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idden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idden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idden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idden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idden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idden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idden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idden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idden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idden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idden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idden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idden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idden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idden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idden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idden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idden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idden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idden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idden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idden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idden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idden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idden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idden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idden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idden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idden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idden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idden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idden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idden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idden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idden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idden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idden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idden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idden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idden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idden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idden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idden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idden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idden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idden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idden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idden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idden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idden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idden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idden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idden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idden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idden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idden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idden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idden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idden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idden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idden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idden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idden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idden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idden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idden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idden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idden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idden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idden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idden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idden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idden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idden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idden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idden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idden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idden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idden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idden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idden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idden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idden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idden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idden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idden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idden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idden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idden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idden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idden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idden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idden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idden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idden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idden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idden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idden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idden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idden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idden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idden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idden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idden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idden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idden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idden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idden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idden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idden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idden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idden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idden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idden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idden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idden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idden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idden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idden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idden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idden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idden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idden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idden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idden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idden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idden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idden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idden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idden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idden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idden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idden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idden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idden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idden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idden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idden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idden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idden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idden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idden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idden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idden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idden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idden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idden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idden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idden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idden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idden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idden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idden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idden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idden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idden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idden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idden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idden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idden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idden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idden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idden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idden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idden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idden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idden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idden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idden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idden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idden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idden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idden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idden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idden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idden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idden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idden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idden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idden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idden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idden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idden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idden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idden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idden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idden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idden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idden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idden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idden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idden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idden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idden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idden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idden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idden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idden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idden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idden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idden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idden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idden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idden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idden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idden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idden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idden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idden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idden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idden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idden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idden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idden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idden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idden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idden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idden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idden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idden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idden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idden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idden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idden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idden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idden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idden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idden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idden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idden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idden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idden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idden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idden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idden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idden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idden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idden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idden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idden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idden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idden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idden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idden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idden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idden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idden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idden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idden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idden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idden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idden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idden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idden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idden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idden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idden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idden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idden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idden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idden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idden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idden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idden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idden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idden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idden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idden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idden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idden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idden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idden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idden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idden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idden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idden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idden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idden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idden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idden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idden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idden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idden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idden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idden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idden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idden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idden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idden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idden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idden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idden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idden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idden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idden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idden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idden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idden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idden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idden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idden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idden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idden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idden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idden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idden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idden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idden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idden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idden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idden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idden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idden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idden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idden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idden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idden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idden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idden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idden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idden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idden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idden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idden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idden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idden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idden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idden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idden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idden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idden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idden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idden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idden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idden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idden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idden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idden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idden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idden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idden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idden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idden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idden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idden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idden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idden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idden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idden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idden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idden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idden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idden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idden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idden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idden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idden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idden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idden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idden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idden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idden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idden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idden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idden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idden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idden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idden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idden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idden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idden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idden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idden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idden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idden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idden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idden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idden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idden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idden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idden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idden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idden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idden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idden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idden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idden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idden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idden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idden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idden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idden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idden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idden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idden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idden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idden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idden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idden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idden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idden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idden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idden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idden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idden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idden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idden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idden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idden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idden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idden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idden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idden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idden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idden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idden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idden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idden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idden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idden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idden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idden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idden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idden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idden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idden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idden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idden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idden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idden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idden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idden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idden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idden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idden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idden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idden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idden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idden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idden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idden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idden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idden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idden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idden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idden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idden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idden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idden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idden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idden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idden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idden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idden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idden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idden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idden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idden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idden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idden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idden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idden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idden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idden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idden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idden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idden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idden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idden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idden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idden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idden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idden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idden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idden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idden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idden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idden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idden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idden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idden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idden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idden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idden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idden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idden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idden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idden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idden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idden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idden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idden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idden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idden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idden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idden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idden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idden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idden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idden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idden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idden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idden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idden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idden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idden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idden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idden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idden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idden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idden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idden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idden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idden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idden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idden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idden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idden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idden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idden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idden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idden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idden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idden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idden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idden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idden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idden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idden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idden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idden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idden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idden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idden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idden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idden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idden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idden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idden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idden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idden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idden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idden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idden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idden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idden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idden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idden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idden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idden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idden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idden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idden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idden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idden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idden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idden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idden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idden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idden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idden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idden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idden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idden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idden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idden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idden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idden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idden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idden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idden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idden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idden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idden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idden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idden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idden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idden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idden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idden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idden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idden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idden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idden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idden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idden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idden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idden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idden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idden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idden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idden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idden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idden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idden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idden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idden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idden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idden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idden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idden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idden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idden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idden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idden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idden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idden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idden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idden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idden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idden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idden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idden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idden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idden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idden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idden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idden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idden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idden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idden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idden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idden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idden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idden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idden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idden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idden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idden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idden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idden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idden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idden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idden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idden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idden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idden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idden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idden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idden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idden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idden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idden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idden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idden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idden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idden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idden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idden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idden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idden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idden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idden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idden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idden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idden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idden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idden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idden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idden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idden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idden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idden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idden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idden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idden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idden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idden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idden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idden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idden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idden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idden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idden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idden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idden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idden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idden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idden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idden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idden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idden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idden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idden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idden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idden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idden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idden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idden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idden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idden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idden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idden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idden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idden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idden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idden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idden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idden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idden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idden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idden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idden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idden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idden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51.63"/>
  </cols>
  <sheetData>
    <row r="2">
      <c r="A2" s="56" t="s">
        <v>117</v>
      </c>
      <c r="B2" s="56" t="s">
        <v>118</v>
      </c>
    </row>
    <row r="3">
      <c r="A3" s="56" t="s">
        <v>119</v>
      </c>
      <c r="B3" s="56" t="s">
        <v>120</v>
      </c>
    </row>
    <row r="4">
      <c r="A4" s="56" t="s">
        <v>121</v>
      </c>
      <c r="B4" s="56" t="s">
        <v>122</v>
      </c>
    </row>
    <row r="5">
      <c r="A5" s="56" t="s">
        <v>123</v>
      </c>
      <c r="B5" s="56" t="s">
        <v>124</v>
      </c>
    </row>
    <row r="6">
      <c r="A6" s="56" t="s">
        <v>95</v>
      </c>
      <c r="B6" s="56" t="s">
        <v>125</v>
      </c>
    </row>
    <row r="7">
      <c r="A7" s="56" t="s">
        <v>126</v>
      </c>
      <c r="B7" s="56" t="s">
        <v>127</v>
      </c>
    </row>
    <row r="8">
      <c r="A8" s="56" t="s">
        <v>128</v>
      </c>
      <c r="B8" s="57" t="s">
        <v>129</v>
      </c>
    </row>
    <row r="9">
      <c r="A9" s="56" t="s">
        <v>130</v>
      </c>
      <c r="B9" s="56" t="s">
        <v>131</v>
      </c>
    </row>
    <row r="10">
      <c r="A10" s="56" t="s">
        <v>132</v>
      </c>
      <c r="B10" s="56" t="s">
        <v>133</v>
      </c>
    </row>
    <row r="11">
      <c r="A11" s="58" t="s">
        <v>134</v>
      </c>
      <c r="B11" s="59" t="s">
        <v>135</v>
      </c>
    </row>
    <row r="12">
      <c r="A12" s="59" t="s">
        <v>136</v>
      </c>
      <c r="B12" s="59" t="s">
        <v>137</v>
      </c>
    </row>
    <row r="13">
      <c r="A13" s="58" t="s">
        <v>138</v>
      </c>
      <c r="B13" s="59" t="s">
        <v>139</v>
      </c>
    </row>
    <row r="14">
      <c r="A14" s="59" t="s">
        <v>140</v>
      </c>
      <c r="B14" s="59" t="s">
        <v>141</v>
      </c>
    </row>
  </sheetData>
  <drawing r:id="rId1"/>
</worksheet>
</file>